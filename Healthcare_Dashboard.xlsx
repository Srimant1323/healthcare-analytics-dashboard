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.gemini\antigravity\scratch\Healthcare\"/>
    </mc:Choice>
  </mc:AlternateContent>
  <xr:revisionPtr revIDLastSave="0" documentId="13_ncr:1_{C1E79FA9-FEC9-42F7-8D01-34782D39699A}" xr6:coauthVersionLast="47" xr6:coauthVersionMax="47" xr10:uidLastSave="{00000000-0000-0000-0000-000000000000}"/>
  <bookViews>
    <workbookView xWindow="-98" yWindow="-98" windowWidth="21795" windowHeight="12975" tabRatio="500" activeTab="3" xr2:uid="{00000000-000D-0000-FFFF-FFFF00000000}"/>
  </bookViews>
  <sheets>
    <sheet name="Pivot Tables" sheetId="8" r:id="rId1"/>
    <sheet name="🏥 Patient Data" sheetId="1" r:id="rId2"/>
    <sheet name="📊 Summary Metrics" sheetId="2" r:id="rId3"/>
    <sheet name="📈 Dashboard" sheetId="3" r:id="rId4"/>
  </sheets>
  <calcPr calcId="191029" iterateDelta="1E-4"/>
  <pivotCaches>
    <pivotCache cacheId="2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AA11" i="3"/>
  <c r="AA10" i="3"/>
  <c r="AA9" i="3"/>
  <c r="AA8" i="3"/>
  <c r="AA7" i="3"/>
  <c r="AM6" i="3"/>
  <c r="AJ6" i="3"/>
  <c r="AG6" i="3"/>
  <c r="AD6" i="3"/>
  <c r="AA6" i="3"/>
  <c r="AM5" i="3"/>
  <c r="AJ5" i="3"/>
  <c r="AG5" i="3"/>
  <c r="AD5" i="3"/>
  <c r="AA5" i="3"/>
  <c r="U5" i="3"/>
  <c r="Q5" i="3"/>
  <c r="M5" i="3"/>
  <c r="I5" i="3"/>
  <c r="E5" i="3"/>
  <c r="A5" i="3"/>
  <c r="AM4" i="3"/>
  <c r="AJ4" i="3"/>
  <c r="AG4" i="3"/>
  <c r="AD4" i="3"/>
  <c r="AA4" i="3"/>
  <c r="AP3" i="3"/>
  <c r="AM3" i="3"/>
  <c r="AJ3" i="3"/>
  <c r="AG3" i="3"/>
  <c r="AD3" i="3"/>
  <c r="AA3" i="3"/>
  <c r="AP2" i="3"/>
  <c r="AM2" i="3"/>
  <c r="AJ2" i="3"/>
  <c r="AG2" i="3"/>
  <c r="AD2" i="3"/>
  <c r="AA2" i="3"/>
  <c r="D41" i="2"/>
  <c r="B41" i="2"/>
  <c r="C41" i="2" s="1"/>
  <c r="D40" i="2"/>
  <c r="B40" i="2"/>
  <c r="C40" i="2" s="1"/>
  <c r="D39" i="2"/>
  <c r="B39" i="2"/>
  <c r="C39" i="2" s="1"/>
  <c r="D38" i="2"/>
  <c r="B38" i="2"/>
  <c r="C38" i="2" s="1"/>
  <c r="D37" i="2"/>
  <c r="B37" i="2"/>
  <c r="C37" i="2" s="1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F23" i="2"/>
  <c r="E23" i="2"/>
  <c r="D23" i="2"/>
  <c r="C23" i="2"/>
  <c r="B23" i="2"/>
  <c r="F22" i="2"/>
  <c r="E22" i="2"/>
  <c r="D22" i="2"/>
  <c r="C22" i="2"/>
  <c r="B22" i="2"/>
  <c r="F21" i="2"/>
  <c r="E21" i="2"/>
  <c r="D21" i="2"/>
  <c r="C21" i="2"/>
  <c r="B21" i="2"/>
  <c r="F20" i="2"/>
  <c r="E20" i="2"/>
  <c r="D20" i="2"/>
  <c r="C20" i="2"/>
  <c r="B20" i="2"/>
  <c r="F19" i="2"/>
  <c r="E19" i="2"/>
  <c r="D19" i="2"/>
  <c r="C19" i="2"/>
  <c r="B19" i="2"/>
  <c r="G14" i="2"/>
  <c r="F14" i="2"/>
  <c r="E14" i="2"/>
  <c r="D14" i="2"/>
  <c r="B14" i="2"/>
  <c r="G13" i="2"/>
  <c r="F13" i="2"/>
  <c r="E13" i="2"/>
  <c r="D13" i="2"/>
  <c r="B13" i="2"/>
  <c r="H13" i="2" s="1"/>
  <c r="G12" i="2"/>
  <c r="F12" i="2"/>
  <c r="E12" i="2"/>
  <c r="D12" i="2"/>
  <c r="B12" i="2"/>
  <c r="G11" i="2"/>
  <c r="F11" i="2"/>
  <c r="E11" i="2"/>
  <c r="D11" i="2"/>
  <c r="B11" i="2"/>
  <c r="G10" i="2"/>
  <c r="F10" i="2"/>
  <c r="E10" i="2"/>
  <c r="D10" i="2"/>
  <c r="B10" i="2"/>
  <c r="G9" i="2"/>
  <c r="F9" i="2"/>
  <c r="E9" i="2"/>
  <c r="D9" i="2"/>
  <c r="B9" i="2"/>
  <c r="G8" i="2"/>
  <c r="F8" i="2"/>
  <c r="E8" i="2"/>
  <c r="D8" i="2"/>
  <c r="B8" i="2"/>
  <c r="G7" i="2"/>
  <c r="F7" i="2"/>
  <c r="E7" i="2"/>
  <c r="D7" i="2"/>
  <c r="B7" i="2"/>
  <c r="G6" i="2"/>
  <c r="F6" i="2"/>
  <c r="E6" i="2"/>
  <c r="D6" i="2"/>
  <c r="B6" i="2"/>
  <c r="G5" i="2"/>
  <c r="F5" i="2"/>
  <c r="E5" i="2"/>
  <c r="D5" i="2"/>
  <c r="B5" i="2"/>
  <c r="H11" i="2" l="1"/>
  <c r="B15" i="2"/>
  <c r="H5" i="2"/>
  <c r="C9" i="2"/>
  <c r="C12" i="2"/>
  <c r="G15" i="2"/>
  <c r="C10" i="2"/>
  <c r="C7" i="2"/>
  <c r="C5" i="2"/>
  <c r="C6" i="2"/>
  <c r="C11" i="2"/>
  <c r="C14" i="2"/>
  <c r="H9" i="2"/>
  <c r="H10" i="2"/>
  <c r="H7" i="2"/>
  <c r="E15" i="2"/>
  <c r="H6" i="2"/>
  <c r="H12" i="2"/>
  <c r="H8" i="2"/>
  <c r="D15" i="2"/>
  <c r="C8" i="2"/>
  <c r="F15" i="2"/>
  <c r="H14" i="2"/>
  <c r="C13" i="2"/>
  <c r="C15" i="2" l="1"/>
  <c r="H15" i="2"/>
</calcChain>
</file>

<file path=xl/sharedStrings.xml><?xml version="1.0" encoding="utf-8"?>
<sst xmlns="http://schemas.openxmlformats.org/spreadsheetml/2006/main" count="1790" uniqueCount="462">
  <si>
    <t>HEALTHCARE PATIENT DATABASE — 200 Records | Jan–Dec 2024</t>
  </si>
  <si>
    <t>Patient ID</t>
  </si>
  <si>
    <t>Visit Date</t>
  </si>
  <si>
    <t>Discharge Date</t>
  </si>
  <si>
    <t>Age</t>
  </si>
  <si>
    <t>Gender</t>
  </si>
  <si>
    <t>Ward</t>
  </si>
  <si>
    <t>Doctor</t>
  </si>
  <si>
    <t>Diagnosis</t>
  </si>
  <si>
    <t>Treatment</t>
  </si>
  <si>
    <t>Outcome</t>
  </si>
  <si>
    <t>LOS (Days)</t>
  </si>
  <si>
    <t>Satisfaction</t>
  </si>
  <si>
    <t>PT0001</t>
  </si>
  <si>
    <t>01-Jun-2024</t>
  </si>
  <si>
    <t>Male</t>
  </si>
  <si>
    <t>Neurology</t>
  </si>
  <si>
    <t>Dr. Singh</t>
  </si>
  <si>
    <t>Diabetes Type 2</t>
  </si>
  <si>
    <t>Metformin</t>
  </si>
  <si>
    <t>Recovered</t>
  </si>
  <si>
    <t>PT0002</t>
  </si>
  <si>
    <t>23-Apr-2024</t>
  </si>
  <si>
    <t>Hypertension</t>
  </si>
  <si>
    <t>ACE Inhibitors</t>
  </si>
  <si>
    <t>PT0003</t>
  </si>
  <si>
    <t>Female</t>
  </si>
  <si>
    <t>Pediatrics</t>
  </si>
  <si>
    <t>Dr. Gupta</t>
  </si>
  <si>
    <t>Pneumonia</t>
  </si>
  <si>
    <t>Antibiotics</t>
  </si>
  <si>
    <t>Improving</t>
  </si>
  <si>
    <t>PT0004</t>
  </si>
  <si>
    <t>21-Jun-2024</t>
  </si>
  <si>
    <t>04-Jul-2024</t>
  </si>
  <si>
    <t>Dr. Verma</t>
  </si>
  <si>
    <t>Asthma</t>
  </si>
  <si>
    <t>Bronchodilator</t>
  </si>
  <si>
    <t>PT0005</t>
  </si>
  <si>
    <t>24-Aug-2024</t>
  </si>
  <si>
    <t>Arthritis</t>
  </si>
  <si>
    <t>NSAIDs</t>
  </si>
  <si>
    <t>Worsening</t>
  </si>
  <si>
    <t>PT0006</t>
  </si>
  <si>
    <t>18-Jul-2024</t>
  </si>
  <si>
    <t>ICU</t>
  </si>
  <si>
    <t>Depression</t>
  </si>
  <si>
    <t>SSRIs</t>
  </si>
  <si>
    <t>PT0007</t>
  </si>
  <si>
    <t>25-Feb-2024</t>
  </si>
  <si>
    <t>Stable</t>
  </si>
  <si>
    <t>PT0008</t>
  </si>
  <si>
    <t>25-Dec-2024</t>
  </si>
  <si>
    <t>30-Dec-2024</t>
  </si>
  <si>
    <t>Dr. Patel</t>
  </si>
  <si>
    <t>PT0009</t>
  </si>
  <si>
    <t>25-May-2024</t>
  </si>
  <si>
    <t>Dr. Sharma</t>
  </si>
  <si>
    <t>Discharged</t>
  </si>
  <si>
    <t>PT0010</t>
  </si>
  <si>
    <t>11-Jun-2024</t>
  </si>
  <si>
    <t>PT0011</t>
  </si>
  <si>
    <t>22-Aug-2024</t>
  </si>
  <si>
    <t>02-Sep-2024</t>
  </si>
  <si>
    <t>Heart Disease</t>
  </si>
  <si>
    <t>Beta Blockers</t>
  </si>
  <si>
    <t>PT0012</t>
  </si>
  <si>
    <t>28-Apr-2024</t>
  </si>
  <si>
    <t>General</t>
  </si>
  <si>
    <t>PT0013</t>
  </si>
  <si>
    <t>02-Apr-2024</t>
  </si>
  <si>
    <t>Cardiology</t>
  </si>
  <si>
    <t>PT0014</t>
  </si>
  <si>
    <t>08-May-2024</t>
  </si>
  <si>
    <t>17-May-2024</t>
  </si>
  <si>
    <t>PT0015</t>
  </si>
  <si>
    <t>15-Aug-2024</t>
  </si>
  <si>
    <t>Migraine</t>
  </si>
  <si>
    <t>Triptans</t>
  </si>
  <si>
    <t>PT0016</t>
  </si>
  <si>
    <t>27-Sep-2024</t>
  </si>
  <si>
    <t>PT0017</t>
  </si>
  <si>
    <t>13-Sep-2024</t>
  </si>
  <si>
    <t>PT0018</t>
  </si>
  <si>
    <t>10-Feb-2024</t>
  </si>
  <si>
    <t>20-Feb-2024</t>
  </si>
  <si>
    <t>PT0019</t>
  </si>
  <si>
    <t>02-Oct-2024</t>
  </si>
  <si>
    <t>Thyroid Disorder</t>
  </si>
  <si>
    <t>Levothyroxine</t>
  </si>
  <si>
    <t>PT0020</t>
  </si>
  <si>
    <t>19-Aug-2024</t>
  </si>
  <si>
    <t>28-Aug-2024</t>
  </si>
  <si>
    <t>PT0021</t>
  </si>
  <si>
    <t>02-May-2024</t>
  </si>
  <si>
    <t>PT0022</t>
  </si>
  <si>
    <t>01-May-2024</t>
  </si>
  <si>
    <t>10-May-2024</t>
  </si>
  <si>
    <t>PT0023</t>
  </si>
  <si>
    <t>30-Aug-2024</t>
  </si>
  <si>
    <t>12-Sep-2024</t>
  </si>
  <si>
    <t>Anemia</t>
  </si>
  <si>
    <t>Iron Supplement</t>
  </si>
  <si>
    <t>PT0024</t>
  </si>
  <si>
    <t>05-Feb-2024</t>
  </si>
  <si>
    <t>PT0025</t>
  </si>
  <si>
    <t>07-Apr-2024</t>
  </si>
  <si>
    <t>11-Apr-2024</t>
  </si>
  <si>
    <t>PT0026</t>
  </si>
  <si>
    <t>16-Aug-2024</t>
  </si>
  <si>
    <t>PT0027</t>
  </si>
  <si>
    <t>03-May-2024</t>
  </si>
  <si>
    <t>PT0028</t>
  </si>
  <si>
    <t>19-Jul-2024</t>
  </si>
  <si>
    <t>PT0029</t>
  </si>
  <si>
    <t>04-Jun-2024</t>
  </si>
  <si>
    <t>PT0030</t>
  </si>
  <si>
    <t>14-Sep-2024</t>
  </si>
  <si>
    <t>22-Sep-2024</t>
  </si>
  <si>
    <t>PT0031</t>
  </si>
  <si>
    <t>14-Feb-2024</t>
  </si>
  <si>
    <t>PT0032</t>
  </si>
  <si>
    <t>14-Nov-2024</t>
  </si>
  <si>
    <t>PT0033</t>
  </si>
  <si>
    <t>21-Jul-2024</t>
  </si>
  <si>
    <t>26-Jul-2024</t>
  </si>
  <si>
    <t>PT0034</t>
  </si>
  <si>
    <t>15-Oct-2024</t>
  </si>
  <si>
    <t>25-Oct-2024</t>
  </si>
  <si>
    <t>PT0035</t>
  </si>
  <si>
    <t>11-Feb-2024</t>
  </si>
  <si>
    <t>PT0036</t>
  </si>
  <si>
    <t>30-Nov-2024</t>
  </si>
  <si>
    <t>13-Dec-2024</t>
  </si>
  <si>
    <t>PT0037</t>
  </si>
  <si>
    <t>12-Oct-2024</t>
  </si>
  <si>
    <t>PT0038</t>
  </si>
  <si>
    <t>16-May-2024</t>
  </si>
  <si>
    <t>PT0039</t>
  </si>
  <si>
    <t>07-Mar-2024</t>
  </si>
  <si>
    <t>13-Mar-2024</t>
  </si>
  <si>
    <t>PT0040</t>
  </si>
  <si>
    <t>PT0041</t>
  </si>
  <si>
    <t>PT0042</t>
  </si>
  <si>
    <t>26-Oct-2024</t>
  </si>
  <si>
    <t>PT0043</t>
  </si>
  <si>
    <t>20-Jan-2024</t>
  </si>
  <si>
    <t>PT0044</t>
  </si>
  <si>
    <t>08-Mar-2024</t>
  </si>
  <si>
    <t>PT0045</t>
  </si>
  <si>
    <t>PT0046</t>
  </si>
  <si>
    <t>PT0047</t>
  </si>
  <si>
    <t>15-May-2024</t>
  </si>
  <si>
    <t>PT0048</t>
  </si>
  <si>
    <t>09-Mar-2024</t>
  </si>
  <si>
    <t>PT0049</t>
  </si>
  <si>
    <t>PT0050</t>
  </si>
  <si>
    <t>11-Dec-2024</t>
  </si>
  <si>
    <t>PT0051</t>
  </si>
  <si>
    <t>PT0052</t>
  </si>
  <si>
    <t>10-Jan-2024</t>
  </si>
  <si>
    <t>PT0053</t>
  </si>
  <si>
    <t>18-Sep-2024</t>
  </si>
  <si>
    <t>PT0054</t>
  </si>
  <si>
    <t>PT0055</t>
  </si>
  <si>
    <t>16-Nov-2024</t>
  </si>
  <si>
    <t>PT0056</t>
  </si>
  <si>
    <t>11-May-2024</t>
  </si>
  <si>
    <t>PT0057</t>
  </si>
  <si>
    <t>04-Oct-2024</t>
  </si>
  <si>
    <t>PT0058</t>
  </si>
  <si>
    <t>22-Oct-2024</t>
  </si>
  <si>
    <t>PT0059</t>
  </si>
  <si>
    <t>31-Aug-2024</t>
  </si>
  <si>
    <t>PT0060</t>
  </si>
  <si>
    <t>17-Feb-2024</t>
  </si>
  <si>
    <t>PT0061</t>
  </si>
  <si>
    <t>PT0062</t>
  </si>
  <si>
    <t>08-Aug-2024</t>
  </si>
  <si>
    <t>PT0063</t>
  </si>
  <si>
    <t>12-Jan-2024</t>
  </si>
  <si>
    <t>PT0064</t>
  </si>
  <si>
    <t>10-Sep-2024</t>
  </si>
  <si>
    <t>PT0065</t>
  </si>
  <si>
    <t>27-Aug-2024</t>
  </si>
  <si>
    <t>PT0066</t>
  </si>
  <si>
    <t>13-Feb-2024</t>
  </si>
  <si>
    <t>PT0067</t>
  </si>
  <si>
    <t>PT0068</t>
  </si>
  <si>
    <t>PT0069</t>
  </si>
  <si>
    <t>12-Apr-2024</t>
  </si>
  <si>
    <t>16-Apr-2024</t>
  </si>
  <si>
    <t>PT0070</t>
  </si>
  <si>
    <t>26-Aug-2024</t>
  </si>
  <si>
    <t>PT0071</t>
  </si>
  <si>
    <t>PT0072</t>
  </si>
  <si>
    <t>PT0073</t>
  </si>
  <si>
    <t>01-Feb-2024</t>
  </si>
  <si>
    <t>PT0074</t>
  </si>
  <si>
    <t>PT0075</t>
  </si>
  <si>
    <t>29-Nov-2024</t>
  </si>
  <si>
    <t>08-Dec-2024</t>
  </si>
  <si>
    <t>PT0076</t>
  </si>
  <si>
    <t>PT0077</t>
  </si>
  <si>
    <t>24-Jul-2024</t>
  </si>
  <si>
    <t>PT0078</t>
  </si>
  <si>
    <t>28-Jun-2024</t>
  </si>
  <si>
    <t>PT0079</t>
  </si>
  <si>
    <t>PT0080</t>
  </si>
  <si>
    <t>PT0081</t>
  </si>
  <si>
    <t>PT0082</t>
  </si>
  <si>
    <t>20-Apr-2024</t>
  </si>
  <si>
    <t>PT0083</t>
  </si>
  <si>
    <t>28-Oct-2024</t>
  </si>
  <si>
    <t>09-Nov-2024</t>
  </si>
  <si>
    <t>PT0084</t>
  </si>
  <si>
    <t>PT0085</t>
  </si>
  <si>
    <t>28-Dec-2024</t>
  </si>
  <si>
    <t>PT0086</t>
  </si>
  <si>
    <t>21-Aug-2024</t>
  </si>
  <si>
    <t>PT0087</t>
  </si>
  <si>
    <t>15-Feb-2024</t>
  </si>
  <si>
    <t>PT0088</t>
  </si>
  <si>
    <t>05-Mar-2024</t>
  </si>
  <si>
    <t>PT0089</t>
  </si>
  <si>
    <t>09-Jun-2024</t>
  </si>
  <si>
    <t>PT0090</t>
  </si>
  <si>
    <t>19-May-2024</t>
  </si>
  <si>
    <t>PT0091</t>
  </si>
  <si>
    <t>25-Aug-2024</t>
  </si>
  <si>
    <t>PT0092</t>
  </si>
  <si>
    <t>03-Sep-2024</t>
  </si>
  <si>
    <t>PT0093</t>
  </si>
  <si>
    <t>17-Mar-2024</t>
  </si>
  <si>
    <t>28-Mar-2024</t>
  </si>
  <si>
    <t>PT0094</t>
  </si>
  <si>
    <t>30-Oct-2024</t>
  </si>
  <si>
    <t>PT0095</t>
  </si>
  <si>
    <t>09-Sep-2024</t>
  </si>
  <si>
    <t>PT0096</t>
  </si>
  <si>
    <t>29-Apr-2024</t>
  </si>
  <si>
    <t>PT0097</t>
  </si>
  <si>
    <t>30-Mar-2024</t>
  </si>
  <si>
    <t>PT0098</t>
  </si>
  <si>
    <t>PT0099</t>
  </si>
  <si>
    <t>20-Jun-2024</t>
  </si>
  <si>
    <t>PT0100</t>
  </si>
  <si>
    <t>PT0101</t>
  </si>
  <si>
    <t>26-Sep-2024</t>
  </si>
  <si>
    <t>PT0102</t>
  </si>
  <si>
    <t>30-May-2024</t>
  </si>
  <si>
    <t>PT0103</t>
  </si>
  <si>
    <t>PT0104</t>
  </si>
  <si>
    <t>PT0105</t>
  </si>
  <si>
    <t>17-Oct-2024</t>
  </si>
  <si>
    <t>PT0106</t>
  </si>
  <si>
    <t>29-Sep-2024</t>
  </si>
  <si>
    <t>PT0107</t>
  </si>
  <si>
    <t>PT0108</t>
  </si>
  <si>
    <t>14-May-2024</t>
  </si>
  <si>
    <t>PT0109</t>
  </si>
  <si>
    <t>10-Dec-2024</t>
  </si>
  <si>
    <t>PT0110</t>
  </si>
  <si>
    <t>PT0111</t>
  </si>
  <si>
    <t>23-May-2024</t>
  </si>
  <si>
    <t>PT0112</t>
  </si>
  <si>
    <t>22-Nov-2024</t>
  </si>
  <si>
    <t>PT0113</t>
  </si>
  <si>
    <t>07-Jun-2024</t>
  </si>
  <si>
    <t>PT0114</t>
  </si>
  <si>
    <t>02-Jun-2024</t>
  </si>
  <si>
    <t>14-Jun-2024</t>
  </si>
  <si>
    <t>PT0115</t>
  </si>
  <si>
    <t>PT0116</t>
  </si>
  <si>
    <t>20-Nov-2024</t>
  </si>
  <si>
    <t>PT0117</t>
  </si>
  <si>
    <t>12-Dec-2024</t>
  </si>
  <si>
    <t>PT0118</t>
  </si>
  <si>
    <t>02-Nov-2024</t>
  </si>
  <si>
    <t>PT0119</t>
  </si>
  <si>
    <t>PT0120</t>
  </si>
  <si>
    <t>03-Dec-2024</t>
  </si>
  <si>
    <t>17-Dec-2024</t>
  </si>
  <si>
    <t>PT0121</t>
  </si>
  <si>
    <t>PT0122</t>
  </si>
  <si>
    <t>19-Nov-2024</t>
  </si>
  <si>
    <t>PT0123</t>
  </si>
  <si>
    <t>PT0124</t>
  </si>
  <si>
    <t>PT0125</t>
  </si>
  <si>
    <t>15-Mar-2024</t>
  </si>
  <si>
    <t>PT0126</t>
  </si>
  <si>
    <t>PT0127</t>
  </si>
  <si>
    <t>PT0128</t>
  </si>
  <si>
    <t>PT0129</t>
  </si>
  <si>
    <t>10-Mar-2024</t>
  </si>
  <si>
    <t>19-Mar-2024</t>
  </si>
  <si>
    <t>PT0130</t>
  </si>
  <si>
    <t>PT0131</t>
  </si>
  <si>
    <t>08-Jul-2024</t>
  </si>
  <si>
    <t>PT0132</t>
  </si>
  <si>
    <t>PT0133</t>
  </si>
  <si>
    <t>16-Oct-2024</t>
  </si>
  <si>
    <t>29-Oct-2024</t>
  </si>
  <si>
    <t>PT0134</t>
  </si>
  <si>
    <t>29-Mar-2024</t>
  </si>
  <si>
    <t>PT0135</t>
  </si>
  <si>
    <t>PT0136</t>
  </si>
  <si>
    <t>15-Jan-2024</t>
  </si>
  <si>
    <t>PT0137</t>
  </si>
  <si>
    <t>12-Jul-2024</t>
  </si>
  <si>
    <t>PT0138</t>
  </si>
  <si>
    <t>PT0139</t>
  </si>
  <si>
    <t>PT0140</t>
  </si>
  <si>
    <t>06-Nov-2024</t>
  </si>
  <si>
    <t>PT0141</t>
  </si>
  <si>
    <t>27-Dec-2024</t>
  </si>
  <si>
    <t>PT0142</t>
  </si>
  <si>
    <t>PT0143</t>
  </si>
  <si>
    <t>20-Dec-2024</t>
  </si>
  <si>
    <t>PT0144</t>
  </si>
  <si>
    <t>09-Jul-2024</t>
  </si>
  <si>
    <t>PT0145</t>
  </si>
  <si>
    <t>04-Aug-2024</t>
  </si>
  <si>
    <t>PT0146</t>
  </si>
  <si>
    <t>PT0147</t>
  </si>
  <si>
    <t>24-May-2024</t>
  </si>
  <si>
    <t>PT0148</t>
  </si>
  <si>
    <t>PT0149</t>
  </si>
  <si>
    <t>PT0150</t>
  </si>
  <si>
    <t>01-Jul-2024</t>
  </si>
  <si>
    <t>PT0151</t>
  </si>
  <si>
    <t>PT0152</t>
  </si>
  <si>
    <t>25-Apr-2024</t>
  </si>
  <si>
    <t>PT0153</t>
  </si>
  <si>
    <t>16-Dec-2024</t>
  </si>
  <si>
    <t>PT0154</t>
  </si>
  <si>
    <t>PT0155</t>
  </si>
  <si>
    <t>16-Jul-2024</t>
  </si>
  <si>
    <t>PT0156</t>
  </si>
  <si>
    <t>PT0157</t>
  </si>
  <si>
    <t>28-Jul-2024</t>
  </si>
  <si>
    <t>PT0158</t>
  </si>
  <si>
    <t>06-May-2024</t>
  </si>
  <si>
    <t>PT0159</t>
  </si>
  <si>
    <t>PT0160</t>
  </si>
  <si>
    <t>PT0161</t>
  </si>
  <si>
    <t>PT0162</t>
  </si>
  <si>
    <t>PT0163</t>
  </si>
  <si>
    <t>PT0164</t>
  </si>
  <si>
    <t>PT0165</t>
  </si>
  <si>
    <t>21-Sep-2024</t>
  </si>
  <si>
    <t>PT0166</t>
  </si>
  <si>
    <t>24-Jan-2024</t>
  </si>
  <si>
    <t>PT0167</t>
  </si>
  <si>
    <t>29-Jun-2024</t>
  </si>
  <si>
    <t>PT0168</t>
  </si>
  <si>
    <t>PT0169</t>
  </si>
  <si>
    <t>PT0170</t>
  </si>
  <si>
    <t>02-Dec-2024</t>
  </si>
  <si>
    <t>PT0171</t>
  </si>
  <si>
    <t>13-Jun-2024</t>
  </si>
  <si>
    <t>PT0172</t>
  </si>
  <si>
    <t>PT0173</t>
  </si>
  <si>
    <t>26-Mar-2024</t>
  </si>
  <si>
    <t>PT0174</t>
  </si>
  <si>
    <t>12-May-2024</t>
  </si>
  <si>
    <t>PT0175</t>
  </si>
  <si>
    <t>PT0176</t>
  </si>
  <si>
    <t>11-Aug-2024</t>
  </si>
  <si>
    <t>PT0177</t>
  </si>
  <si>
    <t>PT0178</t>
  </si>
  <si>
    <t>PT0179</t>
  </si>
  <si>
    <t>22-Jul-2024</t>
  </si>
  <si>
    <t>PT0180</t>
  </si>
  <si>
    <t>28-Nov-2024</t>
  </si>
  <si>
    <t>PT0181</t>
  </si>
  <si>
    <t>PT0183</t>
  </si>
  <si>
    <t>PT0184</t>
  </si>
  <si>
    <t>01-Oct-2024</t>
  </si>
  <si>
    <t>PT0185</t>
  </si>
  <si>
    <t>23-Oct-2024</t>
  </si>
  <si>
    <t>PT0186</t>
  </si>
  <si>
    <t>PT0187</t>
  </si>
  <si>
    <t>02-Jul-2024</t>
  </si>
  <si>
    <t>PT0188</t>
  </si>
  <si>
    <t>PT0189</t>
  </si>
  <si>
    <t>PT0190</t>
  </si>
  <si>
    <t>PT0191</t>
  </si>
  <si>
    <t>PT0192</t>
  </si>
  <si>
    <t>15-Jul-2024</t>
  </si>
  <si>
    <t>PT0193</t>
  </si>
  <si>
    <t>PT0194</t>
  </si>
  <si>
    <t>PT0195</t>
  </si>
  <si>
    <t>PT0196</t>
  </si>
  <si>
    <t>PT0197</t>
  </si>
  <si>
    <t>09-Dec-2024</t>
  </si>
  <si>
    <t>PT0198</t>
  </si>
  <si>
    <t>PT0199</t>
  </si>
  <si>
    <t>PT0200</t>
  </si>
  <si>
    <t>SUMMARY METRICS — AVERAGEIFS · COUNTIFS · Statistical Analysis</t>
  </si>
  <si>
    <t>DIAGNOSIS ANALYSIS</t>
  </si>
  <si>
    <t>Total Patients</t>
  </si>
  <si>
    <t>% Share</t>
  </si>
  <si>
    <t>Avg LOS (Days)</t>
  </si>
  <si>
    <t>Avg Bill (₹)</t>
  </si>
  <si>
    <t>Avg Satisfaction</t>
  </si>
  <si>
    <t>Recovered Count</t>
  </si>
  <si>
    <t>Recovery Rate</t>
  </si>
  <si>
    <t>TOTAL / AVERAGE</t>
  </si>
  <si>
    <t>DOCTOR PERFORMANCE METRICS</t>
  </si>
  <si>
    <t>Patients Handled</t>
  </si>
  <si>
    <t>Avg LOS</t>
  </si>
  <si>
    <t>Avg Bill</t>
  </si>
  <si>
    <t>Recovered %</t>
  </si>
  <si>
    <t>WARD OCCUPANCY &amp; METRICS</t>
  </si>
  <si>
    <t>Total Admissions</t>
  </si>
  <si>
    <t>OUTCOME SUMMARY</t>
  </si>
  <si>
    <t>Count</t>
  </si>
  <si>
    <t>% of Total</t>
  </si>
  <si>
    <t>OUTCOME COLOUR LEGEND</t>
  </si>
  <si>
    <t>🏥  HEALTHCARE ANALYTICS DASHBOARD  |  Clinical Monitoring System  |  2024</t>
  </si>
  <si>
    <t>LOS Range</t>
  </si>
  <si>
    <t>Patients</t>
  </si>
  <si>
    <t>200 Patients  ·  10 Diagnoses  ·  5 Wards  ·  5 Doctors  |  Formulas: COUNTIF · COUNTIFS · AVERAGEIF · AVERAGEIFS · IFERROR</t>
  </si>
  <si>
    <t>1-2 days</t>
  </si>
  <si>
    <t>3-4 days</t>
  </si>
  <si>
    <t>👤 TOTAL PATIENTS</t>
  </si>
  <si>
    <t>📅 AVG LOS (DAYS)</t>
  </si>
  <si>
    <t>💰 AVG BILL (₹)</t>
  </si>
  <si>
    <t>⭐ AVG SATISFACTION</t>
  </si>
  <si>
    <t>✅ RECOVERY RATE</t>
  </si>
  <si>
    <t>🏥 ICU PATIENTS</t>
  </si>
  <si>
    <t>5-6 days</t>
  </si>
  <si>
    <t>7-9 days</t>
  </si>
  <si>
    <t>10+ days</t>
  </si>
  <si>
    <t>All records 2024</t>
  </si>
  <si>
    <t>Avg hospital stay</t>
  </si>
  <si>
    <t>Cost per patient</t>
  </si>
  <si>
    <t>Score out of 100</t>
  </si>
  <si>
    <t>Recovered/Total</t>
  </si>
  <si>
    <t>Critical care</t>
  </si>
  <si>
    <t xml:space="preserve">  📊  ANALYTICS CHARTS  —  6 Visualisations</t>
  </si>
  <si>
    <t>Row Labels</t>
  </si>
  <si>
    <t>Grand Total</t>
  </si>
  <si>
    <t>Months</t>
  </si>
  <si>
    <t>Count of Patient ID</t>
  </si>
  <si>
    <t>Bill ()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</si>
  <si>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</si>
  <si>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</si>
  <si>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</si>
  <si>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</si>
  <si>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</si>
  <si>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</si>
  <si>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</si>
  <si>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</si>
  <si>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</si>
  <si>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</si>
  <si>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</si>
  <si>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</si>
  <si>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Bill ()</t>
  </si>
  <si>
    <t>Average  LOS (Days)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</si>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</sst>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₹#,##0.00"/>
    <numFmt numFmtId="165" formatCode="0.0%"/>
    <numFmt numFmtId="166" formatCode="0.0"/>
    <numFmt numFmtId="167" formatCode="\₹#,##0"/>
    <numFmt numFmtId="169" formatCode="dd\-mm\-yyyy"/>
    <numFmt numFmtId="170" formatCode="dd\-mmm\-yyyy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b/>
      <sz val="15"/>
      <color rgb="FFFFFFFF"/>
      <name val="Arial"/>
      <charset val="1"/>
    </font>
    <font>
      <i/>
      <sz val="9"/>
      <color rgb="FFFFFFFF"/>
      <name val="Arial"/>
      <charset val="1"/>
    </font>
    <font>
      <sz val="8"/>
      <color rgb="FFFFFFFF"/>
      <name val="Arial"/>
      <charset val="1"/>
    </font>
    <font>
      <b/>
      <sz val="16"/>
      <color rgb="FFFFFFFF"/>
      <name val="Arial"/>
      <charset val="1"/>
    </font>
    <font>
      <i/>
      <sz val="7"/>
      <color rgb="FFFFFFFF"/>
      <name val="Arial"/>
      <charset val="1"/>
    </font>
    <font>
      <sz val="7"/>
      <color rgb="FFFFFFFF"/>
      <name val="Arial"/>
      <charset val="1"/>
    </font>
    <font>
      <b/>
      <sz val="11"/>
      <color theme="1"/>
      <name val="Calibri"/>
      <family val="2"/>
    </font>
    <font>
      <b/>
      <sz val="11"/>
      <color rgb="FFFFFF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86C1"/>
        <bgColor rgb="FF4F81BD"/>
      </patternFill>
    </fill>
    <fill>
      <patternFill patternType="solid">
        <fgColor rgb="FFFFFFFF"/>
        <bgColor rgb="FFF2F3F4"/>
      </patternFill>
    </fill>
    <fill>
      <patternFill patternType="solid">
        <fgColor rgb="FFD5F5E3"/>
        <bgColor rgb="FFD4EFDF"/>
      </patternFill>
    </fill>
    <fill>
      <patternFill patternType="solid">
        <fgColor rgb="FFF2F3F4"/>
        <bgColor rgb="FFEBF5FB"/>
      </patternFill>
    </fill>
    <fill>
      <patternFill patternType="solid">
        <fgColor rgb="FFD4EFDF"/>
        <bgColor rgb="FFD5F5E3"/>
      </patternFill>
    </fill>
    <fill>
      <patternFill patternType="solid">
        <fgColor rgb="FFFADBD8"/>
        <bgColor rgb="FFD9D9D9"/>
      </patternFill>
    </fill>
    <fill>
      <patternFill patternType="solid">
        <fgColor rgb="FFD6EAF8"/>
        <bgColor rgb="FFD4EFDF"/>
      </patternFill>
    </fill>
    <fill>
      <patternFill patternType="solid">
        <fgColor rgb="FFEBF5FB"/>
        <bgColor rgb="FFF2F3F4"/>
      </patternFill>
    </fill>
    <fill>
      <patternFill patternType="solid">
        <fgColor rgb="FF17A589"/>
        <bgColor rgb="FF008080"/>
      </patternFill>
    </fill>
    <fill>
      <patternFill patternType="solid">
        <fgColor rgb="FF6C3483"/>
        <bgColor rgb="FF333399"/>
      </patternFill>
    </fill>
    <fill>
      <patternFill patternType="solid">
        <fgColor rgb="FFE67E22"/>
        <bgColor rgb="FFFF9900"/>
      </patternFill>
    </fill>
    <fill>
      <patternFill patternType="solid">
        <fgColor rgb="FF1E8449"/>
        <bgColor rgb="FF008080"/>
      </patternFill>
    </fill>
    <fill>
      <patternFill patternType="solid">
        <fgColor rgb="FF5D6D7E"/>
        <bgColor rgb="FF8064A2"/>
      </patternFill>
    </fill>
    <fill>
      <patternFill patternType="solid">
        <fgColor rgb="FFC0392B"/>
        <bgColor rgb="FFC0504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164" fontId="3" fillId="6" borderId="2" xfId="0" applyNumberFormat="1" applyFont="1" applyFill="1" applyBorder="1" applyAlignment="1">
      <alignment horizontal="center" vertical="center"/>
    </xf>
    <xf numFmtId="1" fontId="3" fillId="6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3" fillId="0" borderId="0" xfId="0" applyFont="1"/>
    <xf numFmtId="0" fontId="7" fillId="2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4" borderId="3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center" vertical="center"/>
    </xf>
    <xf numFmtId="1" fontId="10" fillId="16" borderId="4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4" borderId="3" xfId="0" applyFont="1" applyFill="1" applyBorder="1" applyAlignment="1">
      <alignment horizontal="center" vertical="center"/>
    </xf>
    <xf numFmtId="0" fontId="11" fillId="16" borderId="3" xfId="0" applyFont="1" applyFill="1" applyBorder="1" applyAlignment="1">
      <alignment horizontal="center" vertical="center"/>
    </xf>
    <xf numFmtId="1" fontId="10" fillId="2" borderId="4" xfId="0" applyNumberFormat="1" applyFont="1" applyFill="1" applyBorder="1" applyAlignment="1">
      <alignment horizontal="center" vertical="center"/>
    </xf>
    <xf numFmtId="166" fontId="10" fillId="3" borderId="4" xfId="0" applyNumberFormat="1" applyFont="1" applyFill="1" applyBorder="1" applyAlignment="1">
      <alignment horizontal="center" vertical="center"/>
    </xf>
    <xf numFmtId="167" fontId="10" fillId="11" borderId="4" xfId="0" applyNumberFormat="1" applyFont="1" applyFill="1" applyBorder="1" applyAlignment="1">
      <alignment horizontal="center" vertical="center"/>
    </xf>
    <xf numFmtId="166" fontId="10" fillId="12" borderId="4" xfId="0" applyNumberFormat="1" applyFont="1" applyFill="1" applyBorder="1" applyAlignment="1">
      <alignment horizontal="center" vertical="center"/>
    </xf>
    <xf numFmtId="165" fontId="10" fillId="14" borderId="4" xfId="0" applyNumberFormat="1" applyFont="1" applyFill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2" fillId="12" borderId="3" xfId="0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  <xf numFmtId="164" fontId="0" fillId="0" borderId="0" xfId="0" applyNumberFormat="1"/>
    <xf numFmtId="169" fontId="2" fillId="3" borderId="1" xfId="0" applyNumberFormat="1" applyFont="1" applyFill="1" applyBorder="1" applyAlignment="1">
      <alignment horizontal="center" vertical="center"/>
    </xf>
    <xf numFmtId="170" fontId="3" fillId="4" borderId="2" xfId="0" applyNumberFormat="1" applyFont="1" applyFill="1" applyBorder="1" applyAlignment="1">
      <alignment horizontal="center" vertical="center"/>
    </xf>
    <xf numFmtId="169" fontId="14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70" formatCode="dd\-mmm\-yyyy"/>
      <fill>
        <patternFill patternType="solid">
          <fgColor rgb="FFF2F3F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449"/>
      <rgbColor rgb="FFB3B3B3"/>
      <rgbColor rgb="FF8064A2"/>
      <rgbColor rgb="FF9999FF"/>
      <rgbColor rgb="FF6C3483"/>
      <rgbColor rgb="FFF2F3F4"/>
      <rgbColor rgb="FFD4EF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EBF5FB"/>
      <rgbColor rgb="FF99CCFF"/>
      <rgbColor rgb="FFFF99CC"/>
      <rgbColor rgb="FFCC99FF"/>
      <rgbColor rgb="FFFADBD8"/>
      <rgbColor rgb="FF2E86C1"/>
      <rgbColor rgb="FF4BACC6"/>
      <rgbColor rgb="FF9BBB59"/>
      <rgbColor rgb="FFFFCC00"/>
      <rgbColor rgb="FFFF9900"/>
      <rgbColor rgb="FFE67E22"/>
      <rgbColor rgb="FF5D6D7E"/>
      <rgbColor rgb="FF4F81BD"/>
      <rgbColor rgb="FF1F3864"/>
      <rgbColor rgb="FF17A589"/>
      <rgbColor rgb="FF003300"/>
      <rgbColor rgb="FF333300"/>
      <rgbColor rgb="FFC0392B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Patients by Diagnosis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'📈 Dashboard'!$AA$1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Dashboard'!$Z$2:$Z$11</c:f>
              <c:strCache>
                <c:ptCount val="10"/>
                <c:pt idx="0">
                  <c:v>Hypertension</c:v>
                </c:pt>
                <c:pt idx="1">
                  <c:v>Diabetes Type 2</c:v>
                </c:pt>
                <c:pt idx="2">
                  <c:v>Asthma</c:v>
                </c:pt>
                <c:pt idx="3">
                  <c:v>Pneumonia</c:v>
                </c:pt>
                <c:pt idx="4">
                  <c:v>Arthritis</c:v>
                </c:pt>
                <c:pt idx="5">
                  <c:v>Migraine</c:v>
                </c:pt>
                <c:pt idx="6">
                  <c:v>Heart Disease</c:v>
                </c:pt>
                <c:pt idx="7">
                  <c:v>Anemia</c:v>
                </c:pt>
                <c:pt idx="8">
                  <c:v>Thyroid Disorder</c:v>
                </c:pt>
                <c:pt idx="9">
                  <c:v>Depression</c:v>
                </c:pt>
              </c:strCache>
            </c:strRef>
          </c:cat>
          <c:val>
            <c:numRef>
              <c:f>'📈 Dashboard'!$AA$2:$AA$11</c:f>
              <c:numCache>
                <c:formatCode>General</c:formatCode>
                <c:ptCount val="10"/>
                <c:pt idx="0">
                  <c:v>18</c:v>
                </c:pt>
                <c:pt idx="1">
                  <c:v>20</c:v>
                </c:pt>
                <c:pt idx="2">
                  <c:v>23</c:v>
                </c:pt>
                <c:pt idx="3">
                  <c:v>19</c:v>
                </c:pt>
                <c:pt idx="4">
                  <c:v>28</c:v>
                </c:pt>
                <c:pt idx="5">
                  <c:v>16</c:v>
                </c:pt>
                <c:pt idx="6">
                  <c:v>22</c:v>
                </c:pt>
                <c:pt idx="7">
                  <c:v>20</c:v>
                </c:pt>
                <c:pt idx="8">
                  <c:v>15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E9-4DE8-81DC-2E9F03694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36804"/>
        <c:axId val="54141867"/>
      </c:barChart>
      <c:catAx>
        <c:axId val="253680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No. of Patients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4141867"/>
        <c:crosses val="autoZero"/>
        <c:auto val="1"/>
        <c:lblAlgn val="ctr"/>
        <c:lblOffset val="100"/>
        <c:noMultiLvlLbl val="0"/>
      </c:catAx>
      <c:valAx>
        <c:axId val="5414186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Diagnosis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368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Patient Outcomes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'📈 Dashboard'!$AD$1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3AC1-47B3-9A95-1C578B7BF04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3AC1-47B3-9A95-1C578B7BF04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3AC1-47B3-9A95-1C578B7BF04A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3AC1-47B3-9A95-1C578B7BF04A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3AC1-47B3-9A95-1C578B7BF04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AC1-47B3-9A95-1C578B7BF04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AC1-47B3-9A95-1C578B7BF04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AC1-47B3-9A95-1C578B7BF04A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AC1-47B3-9A95-1C578B7BF04A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AC1-47B3-9A95-1C578B7BF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'📈 Dashboard'!$AC$2:$AC$6</c:f>
              <c:strCache>
                <c:ptCount val="5"/>
                <c:pt idx="0">
                  <c:v>Recovered</c:v>
                </c:pt>
                <c:pt idx="1">
                  <c:v>Improving</c:v>
                </c:pt>
                <c:pt idx="2">
                  <c:v>Stable</c:v>
                </c:pt>
                <c:pt idx="3">
                  <c:v>Worsening</c:v>
                </c:pt>
                <c:pt idx="4">
                  <c:v>Discharged</c:v>
                </c:pt>
              </c:strCache>
            </c:strRef>
          </c:cat>
          <c:val>
            <c:numRef>
              <c:f>'📈 Dashboard'!$AD$2:$AD$6</c:f>
              <c:numCache>
                <c:formatCode>General</c:formatCode>
                <c:ptCount val="5"/>
                <c:pt idx="0">
                  <c:v>38</c:v>
                </c:pt>
                <c:pt idx="1">
                  <c:v>34</c:v>
                </c:pt>
                <c:pt idx="2">
                  <c:v>43</c:v>
                </c:pt>
                <c:pt idx="3">
                  <c:v>47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C1-47B3-9A95-1C578B7BF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Admissions by Ward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Dashboard'!$AG$1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Dashboard'!$AF$2:$AF$6</c:f>
              <c:strCache>
                <c:ptCount val="5"/>
                <c:pt idx="0">
                  <c:v>General</c:v>
                </c:pt>
                <c:pt idx="1">
                  <c:v>ICU</c:v>
                </c:pt>
                <c:pt idx="2">
                  <c:v>Pediatrics</c:v>
                </c:pt>
                <c:pt idx="3">
                  <c:v>Cardiology</c:v>
                </c:pt>
                <c:pt idx="4">
                  <c:v>Neurology</c:v>
                </c:pt>
              </c:strCache>
            </c:strRef>
          </c:cat>
          <c:val>
            <c:numRef>
              <c:f>'📈 Dashboard'!$AG$2:$AG$6</c:f>
              <c:numCache>
                <c:formatCode>General</c:formatCode>
                <c:ptCount val="5"/>
                <c:pt idx="0">
                  <c:v>38</c:v>
                </c:pt>
                <c:pt idx="1">
                  <c:v>22</c:v>
                </c:pt>
                <c:pt idx="2">
                  <c:v>46</c:v>
                </c:pt>
                <c:pt idx="3">
                  <c:v>43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E-4F3A-BCE9-44B659162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974231"/>
        <c:axId val="50596071"/>
      </c:barChart>
      <c:catAx>
        <c:axId val="249742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Ward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596071"/>
        <c:crosses val="autoZero"/>
        <c:auto val="1"/>
        <c:lblAlgn val="ctr"/>
        <c:lblOffset val="100"/>
        <c:noMultiLvlLbl val="0"/>
      </c:catAx>
      <c:valAx>
        <c:axId val="505960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No. of Patients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9742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Length of Stay Distribution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Dashboard'!$AJ$1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Dashboard'!$AI$2:$AI$6</c:f>
              <c:strCache>
                <c:ptCount val="5"/>
                <c:pt idx="0">
                  <c:v>1-2 days</c:v>
                </c:pt>
                <c:pt idx="1">
                  <c:v>3-4 days</c:v>
                </c:pt>
                <c:pt idx="2">
                  <c:v>5-6 days</c:v>
                </c:pt>
                <c:pt idx="3">
                  <c:v>7-9 days</c:v>
                </c:pt>
                <c:pt idx="4">
                  <c:v>10+ days</c:v>
                </c:pt>
              </c:strCache>
            </c:strRef>
          </c:cat>
          <c:val>
            <c:numRef>
              <c:f>'📈 Dashboard'!$AJ$2:$AJ$6</c:f>
              <c:numCache>
                <c:formatCode>General</c:formatCode>
                <c:ptCount val="5"/>
                <c:pt idx="0">
                  <c:v>31</c:v>
                </c:pt>
                <c:pt idx="1">
                  <c:v>25</c:v>
                </c:pt>
                <c:pt idx="2">
                  <c:v>31</c:v>
                </c:pt>
                <c:pt idx="3">
                  <c:v>50</c:v>
                </c:pt>
                <c:pt idx="4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C-405C-B628-ABB8057B6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714036"/>
        <c:axId val="77551824"/>
      </c:barChart>
      <c:catAx>
        <c:axId val="507140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Days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551824"/>
        <c:crosses val="autoZero"/>
        <c:auto val="1"/>
        <c:lblAlgn val="ctr"/>
        <c:lblOffset val="100"/>
        <c:noMultiLvlLbl val="0"/>
      </c:catAx>
      <c:valAx>
        <c:axId val="775518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No. of Patients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7140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Avg Patient Satisfaction by Doctor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033662315838536"/>
          <c:y val="0.13236336603498863"/>
          <c:w val="0.63129867083299473"/>
          <c:h val="0.7217715754076864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'📈 Dashboard'!$AM$1</c:f>
              <c:strCache>
                <c:ptCount val="1"/>
                <c:pt idx="0">
                  <c:v>Avg Satisfaction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'📈 Dashboard'!$AL$2:$AL$6</c:f>
              <c:strCache>
                <c:ptCount val="5"/>
                <c:pt idx="0">
                  <c:v>Dr. Sharma</c:v>
                </c:pt>
                <c:pt idx="1">
                  <c:v>Dr. Patel</c:v>
                </c:pt>
                <c:pt idx="2">
                  <c:v>Dr. Gupta</c:v>
                </c:pt>
                <c:pt idx="3">
                  <c:v>Dr. Singh</c:v>
                </c:pt>
                <c:pt idx="4">
                  <c:v>Dr. Verma</c:v>
                </c:pt>
              </c:strCache>
            </c:strRef>
          </c:cat>
          <c:val>
            <c:numRef>
              <c:f>'📈 Dashboard'!$AM$2:$AM$6</c:f>
              <c:numCache>
                <c:formatCode>General</c:formatCode>
                <c:ptCount val="5"/>
                <c:pt idx="0">
                  <c:v>86.195121951219505</c:v>
                </c:pt>
                <c:pt idx="1">
                  <c:v>85.583333333333329</c:v>
                </c:pt>
                <c:pt idx="2">
                  <c:v>84.829787234042556</c:v>
                </c:pt>
                <c:pt idx="3">
                  <c:v>83.641025641025635</c:v>
                </c:pt>
                <c:pt idx="4">
                  <c:v>85.555555555555557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8B-4B49-A618-4AD4A690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50542"/>
        <c:axId val="9834110"/>
      </c:barChart>
      <c:catAx>
        <c:axId val="1475054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Avg Satisfaction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34110"/>
        <c:crosses val="autoZero"/>
        <c:auto val="1"/>
        <c:lblAlgn val="ctr"/>
        <c:lblOffset val="100"/>
        <c:noMultiLvlLbl val="0"/>
      </c:catAx>
      <c:valAx>
        <c:axId val="983411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Doctor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7505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Gender Split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'📈 Dashboard'!$AP$1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484B-419B-99D4-241255F9E324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84B-419B-99D4-241255F9E324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4B-419B-99D4-241255F9E324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4B-419B-99D4-241255F9E3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'📈 Dashboard'!$AO$2:$AO$3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'📈 Dashboard'!$AP$2:$AP$3</c:f>
              <c:numCache>
                <c:formatCode>General</c:formatCode>
                <c:ptCount val="2"/>
                <c:pt idx="0">
                  <c:v>119</c:v>
                </c:pt>
                <c:pt idx="1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4B-419B-99D4-241255F9E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[Healthcare_Dashboard.xlsx]Pivot Tables!Monthly Patient Count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Count of Patients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2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3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4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5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6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7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8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9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10"/>
        <c:spPr>
          <a:solidFill>
            <a:schemeClr val="accent4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Tables'!$B$4:$B$16</c:f>
              <c:numCache>
                <c:formatCode>General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13</c:v>
                </c:pt>
                <c:pt idx="3">
                  <c:v>20</c:v>
                </c:pt>
                <c:pt idx="4">
                  <c:v>19</c:v>
                </c:pt>
                <c:pt idx="5">
                  <c:v>11</c:v>
                </c:pt>
                <c:pt idx="6">
                  <c:v>21</c:v>
                </c:pt>
                <c:pt idx="7">
                  <c:v>31</c:v>
                </c:pt>
                <c:pt idx="8">
                  <c:v>19</c:v>
                </c:pt>
                <c:pt idx="9">
                  <c:v>17</c:v>
                </c:pt>
                <c:pt idx="10">
                  <c:v>17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15-4F7D-9979-934475862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3554496"/>
        <c:axId val="1203553536"/>
      </c:lineChart>
      <c:catAx>
        <c:axId val="12035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553536"/>
        <c:crosses val="autoZero"/>
        <c:auto val="1"/>
        <c:lblAlgn val="ctr"/>
        <c:lblOffset val="100"/>
        <c:noMultiLvlLbl val="0"/>
      </c:catAx>
      <c:valAx>
        <c:axId val="120355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035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[Healthcare_Dashboard.xlsx]Pivot Tables!Monthly revenue Report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</a:t>
            </a:r>
            <a:r>
              <a:rPr lang="en-US" baseline="0"/>
              <a:t> of Bill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Tables'!$D$4:$D$16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Tables'!$E$4:$E$16</c:f>
              <c:numCache>
                <c:formatCode>\₹#,##0.00</c:formatCode>
                <c:ptCount val="12"/>
                <c:pt idx="0">
                  <c:v>565802.29</c:v>
                </c:pt>
                <c:pt idx="1">
                  <c:v>417109.64000000007</c:v>
                </c:pt>
                <c:pt idx="2">
                  <c:v>514091.7699999999</c:v>
                </c:pt>
                <c:pt idx="3">
                  <c:v>854869.79999999993</c:v>
                </c:pt>
                <c:pt idx="4">
                  <c:v>887614.97000000009</c:v>
                </c:pt>
                <c:pt idx="5">
                  <c:v>314048.19</c:v>
                </c:pt>
                <c:pt idx="6">
                  <c:v>679353.72</c:v>
                </c:pt>
                <c:pt idx="7">
                  <c:v>1387923.41</c:v>
                </c:pt>
                <c:pt idx="8">
                  <c:v>744260.04999999993</c:v>
                </c:pt>
                <c:pt idx="9">
                  <c:v>748997.13</c:v>
                </c:pt>
                <c:pt idx="10">
                  <c:v>887333.97000000009</c:v>
                </c:pt>
                <c:pt idx="11">
                  <c:v>439188.84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25-4ED8-BA34-167E67C9B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230608"/>
        <c:axId val="995227248"/>
      </c:barChart>
      <c:catAx>
        <c:axId val="99523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227248"/>
        <c:crosses val="autoZero"/>
        <c:auto val="1"/>
        <c:lblAlgn val="ctr"/>
        <c:lblOffset val="100"/>
        <c:noMultiLvlLbl val="0"/>
      </c:catAx>
      <c:valAx>
        <c:axId val="99522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₹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23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[Healthcare_Dashboard.xlsx]Pivot Tables!Monthly LOS Report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Length of Stay Trend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 Tables'!$H$3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Tables'!$G$4:$G$16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Tables'!$H$4:$H$16</c:f>
              <c:numCache>
                <c:formatCode>0.0</c:formatCode>
                <c:ptCount val="12"/>
                <c:pt idx="0">
                  <c:v>6.9285714285714288</c:v>
                </c:pt>
                <c:pt idx="1">
                  <c:v>10.222222222222221</c:v>
                </c:pt>
                <c:pt idx="2">
                  <c:v>8.615384615384615</c:v>
                </c:pt>
                <c:pt idx="3">
                  <c:v>7.45</c:v>
                </c:pt>
                <c:pt idx="4">
                  <c:v>6.9473684210526319</c:v>
                </c:pt>
                <c:pt idx="5">
                  <c:v>6.4545454545454541</c:v>
                </c:pt>
                <c:pt idx="6">
                  <c:v>5.9523809523809526</c:v>
                </c:pt>
                <c:pt idx="7">
                  <c:v>7.32258064516129</c:v>
                </c:pt>
                <c:pt idx="8">
                  <c:v>8.526315789473685</c:v>
                </c:pt>
                <c:pt idx="9">
                  <c:v>8.2941176470588243</c:v>
                </c:pt>
                <c:pt idx="10">
                  <c:v>6.4705882352941178</c:v>
                </c:pt>
                <c:pt idx="11">
                  <c:v>4.625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6B-43F4-9F51-56445BF52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97037808"/>
        <c:axId val="997038768"/>
        <c:axId val="0"/>
      </c:bar3DChart>
      <c:catAx>
        <c:axId val="99703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038768"/>
        <c:crosses val="autoZero"/>
        <c:auto val="1"/>
        <c:lblAlgn val="ctr"/>
        <c:lblOffset val="100"/>
        <c:noMultiLvlLbl val="0"/>
      </c:catAx>
      <c:valAx>
        <c:axId val="99703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03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[Healthcare_Dashboard.xlsx]Pivot Tables!Monthly Satisfaction Report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Tables'!$K$3:$K$4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Tables'!$J$5:$J$17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Tables'!$K$5:$K$17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9</c:v>
                </c:pt>
                <c:pt idx="4">
                  <c:v>7</c:v>
                </c:pt>
                <c:pt idx="5">
                  <c:v>5</c:v>
                </c:pt>
                <c:pt idx="6">
                  <c:v>12</c:v>
                </c:pt>
                <c:pt idx="7">
                  <c:v>13</c:v>
                </c:pt>
                <c:pt idx="8">
                  <c:v>7</c:v>
                </c:pt>
                <c:pt idx="9">
                  <c:v>9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C-485A-981F-A44A1BC7DBEF}"/>
            </c:ext>
          </c:extLst>
        </c:ser>
        <c:ser>
          <c:idx val="1"/>
          <c:order val="1"/>
          <c:tx>
            <c:strRef>
              <c:f>'Pivot Tables'!$L$3:$L$4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Tables'!$J$5:$J$17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Tables'!$L$5:$L$17</c:f>
              <c:numCache>
                <c:formatCode>General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12</c:v>
                </c:pt>
                <c:pt idx="5">
                  <c:v>6</c:v>
                </c:pt>
                <c:pt idx="6">
                  <c:v>9</c:v>
                </c:pt>
                <c:pt idx="7">
                  <c:v>18</c:v>
                </c:pt>
                <c:pt idx="8">
                  <c:v>12</c:v>
                </c:pt>
                <c:pt idx="9">
                  <c:v>8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C-485A-981F-A44A1BC7D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681360"/>
        <c:axId val="1144681840"/>
      </c:barChart>
      <c:catAx>
        <c:axId val="114468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681840"/>
        <c:crosses val="autoZero"/>
        <c:auto val="1"/>
        <c:lblAlgn val="ctr"/>
        <c:lblOffset val="100"/>
        <c:noMultiLvlLbl val="0"/>
      </c:catAx>
      <c:valAx>
        <c:axId val="114468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68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420872</xdr:colOff>
      <xdr:row>12</xdr:row>
      <xdr:rowOff>121832</xdr:rowOff>
    </xdr:from>
    <xdr:to>
      <xdr:col>15</xdr:col>
      <xdr:colOff>88133</xdr:colOff>
      <xdr:row>34</xdr:row>
      <xdr:rowOff>132271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210437</xdr:colOff>
      <xdr:row>12</xdr:row>
      <xdr:rowOff>177209</xdr:rowOff>
    </xdr:from>
    <xdr:to>
      <xdr:col>26</xdr:col>
      <xdr:colOff>393547</xdr:colOff>
      <xdr:row>34</xdr:row>
      <xdr:rowOff>187648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420872</xdr:colOff>
      <xdr:row>36</xdr:row>
      <xdr:rowOff>11076</xdr:rowOff>
    </xdr:from>
    <xdr:to>
      <xdr:col>15</xdr:col>
      <xdr:colOff>66453</xdr:colOff>
      <xdr:row>57</xdr:row>
      <xdr:rowOff>7959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28</xdr:col>
      <xdr:colOff>365494</xdr:colOff>
      <xdr:row>12</xdr:row>
      <xdr:rowOff>55379</xdr:rowOff>
    </xdr:from>
    <xdr:to>
      <xdr:col>38</xdr:col>
      <xdr:colOff>840357</xdr:colOff>
      <xdr:row>34</xdr:row>
      <xdr:rowOff>210436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132906</xdr:colOff>
      <xdr:row>36</xdr:row>
      <xdr:rowOff>77529</xdr:rowOff>
    </xdr:from>
    <xdr:to>
      <xdr:col>28</xdr:col>
      <xdr:colOff>11074</xdr:colOff>
      <xdr:row>56</xdr:row>
      <xdr:rowOff>221512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29</xdr:col>
      <xdr:colOff>487326</xdr:colOff>
      <xdr:row>36</xdr:row>
      <xdr:rowOff>88606</xdr:rowOff>
    </xdr:from>
    <xdr:to>
      <xdr:col>39</xdr:col>
      <xdr:colOff>243662</xdr:colOff>
      <xdr:row>56</xdr:row>
      <xdr:rowOff>177210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498401</xdr:colOff>
      <xdr:row>58</xdr:row>
      <xdr:rowOff>77528</xdr:rowOff>
    </xdr:from>
    <xdr:to>
      <xdr:col>15</xdr:col>
      <xdr:colOff>121830</xdr:colOff>
      <xdr:row>77</xdr:row>
      <xdr:rowOff>88604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A5F0C6-50D2-4F27-8EB9-6FA58D9857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155059</xdr:colOff>
      <xdr:row>58</xdr:row>
      <xdr:rowOff>66453</xdr:rowOff>
    </xdr:from>
    <xdr:to>
      <xdr:col>28</xdr:col>
      <xdr:colOff>19936</xdr:colOff>
      <xdr:row>77</xdr:row>
      <xdr:rowOff>62908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ADB0F6-9078-4C64-A657-362085D62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29</xdr:col>
      <xdr:colOff>354417</xdr:colOff>
      <xdr:row>58</xdr:row>
      <xdr:rowOff>88604</xdr:rowOff>
    </xdr:from>
    <xdr:to>
      <xdr:col>39</xdr:col>
      <xdr:colOff>431945</xdr:colOff>
      <xdr:row>77</xdr:row>
      <xdr:rowOff>177208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417E5E8-E4CA-40FE-A15A-A3CC931418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39</xdr:col>
      <xdr:colOff>299039</xdr:colOff>
      <xdr:row>9</xdr:row>
      <xdr:rowOff>88603</xdr:rowOff>
    </xdr:from>
    <xdr:to>
      <xdr:col>54</xdr:col>
      <xdr:colOff>287964</xdr:colOff>
      <xdr:row>35</xdr:row>
      <xdr:rowOff>11074</xdr:rowOff>
    </xdr:to>
    <xdr:graphicFrame macro="">
      <xdr:nvGraphicFramePr>
        <xdr:cNvPr id="11" name="Patient Gender Distribution">
          <a:extLst>
            <a:ext uri="{FF2B5EF4-FFF2-40B4-BE49-F238E27FC236}">
              <a16:creationId xmlns:a16="http://schemas.microsoft.com/office/drawing/2014/main" id="{A8F91468-FF5C-4B43-85C0-70BE071271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imant Bhardwaj" refreshedDate="46147.531487731481" createdVersion="8" refreshedVersion="8" minRefreshableVersion="3" recordCount="199" xr:uid="{C6D1B367-57E4-4F03-B9D5-10CEE8F445E7}">
  <cacheSource type="worksheet">
    <worksheetSource name="PatientData"/>
  </cacheSource>
  <cacheFields count="16">
    <cacheField name="Patient ID" numFmtId="0">
      <sharedItems/>
    </cacheField>
    <cacheField name="Visit Date" numFmtId="170">
      <sharedItems containsSemiMixedTypes="0" containsNonDate="0" containsDate="1" containsString="0" minDate="2024-01-01T00:00:00" maxDate="2024-12-26T00:00:00" count="147">
        <d v="2024-05-20T00:00:00"/>
        <d v="2024-04-21T00:00:00"/>
        <d v="2024-05-22T00:00:00"/>
        <d v="2024-06-21T00:00:00"/>
        <d v="2024-08-23T00:00:00"/>
        <d v="2024-04-07T00:00:00"/>
        <d v="2024-02-21T00:00:00"/>
        <d v="2024-12-25T00:00:00"/>
        <d v="2024-05-18T00:00:00"/>
        <d v="2024-10-06T00:00:00"/>
        <d v="2024-08-22T00:00:00"/>
        <d v="2024-04-22T00:00:00"/>
        <d v="2024-03-22T00:00:00"/>
        <d v="2024-08-05T00:00:00"/>
        <d v="2024-10-08T00:00:00"/>
        <d v="2024-09-16T00:00:00"/>
        <d v="2024-07-09T00:00:00"/>
        <d v="2024-10-02T00:00:00"/>
        <d v="2024-09-27T00:00:00"/>
        <d v="2024-08-19T00:00:00"/>
        <d v="2024-01-05T00:00:00"/>
        <d v="2024-08-30T00:00:00"/>
        <d v="2024-01-28T00:00:00"/>
        <d v="2024-07-04T00:00:00"/>
        <d v="2024-08-14T00:00:00"/>
        <d v="2024-07-18T00:00:00"/>
        <d v="2024-05-31T00:00:00"/>
        <d v="2024-09-14T00:00:00"/>
        <d v="2024-04-02T00:00:00"/>
        <d v="2024-11-13T00:00:00"/>
        <d v="2024-07-21T00:00:00"/>
        <d v="2024-10-15T00:00:00"/>
        <d v="2024-05-02T00:00:00"/>
        <d v="2024-11-30T00:00:00"/>
        <d v="2024-10-10T00:00:00"/>
        <d v="2024-07-03T00:00:00"/>
        <d v="2024-08-02T00:00:00"/>
        <d v="2024-06-03T00:00:00"/>
        <d v="2024-10-13T00:00:00"/>
        <d v="2024-01-13T00:00:00"/>
        <d v="2024-02-25T00:00:00"/>
        <d v="2024-04-26T00:00:00"/>
        <d v="2024-05-15T00:00:00"/>
        <d v="2024-02-29T00:00:00"/>
        <d v="2024-02-10T00:00:00"/>
        <d v="2024-05-12T00:00:00"/>
        <d v="2024-01-01T00:00:00"/>
        <d v="2024-09-18T00:00:00"/>
        <d v="2024-04-30T00:00:00"/>
        <d v="2024-08-11T00:00:00"/>
        <d v="2024-04-05T00:00:00"/>
        <d v="2024-09-22T00:00:00"/>
        <d v="2024-08-31T00:00:00"/>
        <d v="2024-09-02T00:00:00"/>
        <d v="2024-04-28T00:00:00"/>
        <d v="2024-07-31T00:00:00"/>
        <d v="2024-04-01T00:00:00"/>
        <d v="2024-06-09T00:00:00"/>
        <d v="2024-08-27T00:00:00"/>
        <d v="2024-12-02T00:00:00"/>
        <d v="2024-08-20T00:00:00"/>
        <d v="2024-03-10T00:00:00"/>
        <d v="2024-12-04T00:00:00"/>
        <d v="2024-08-26T00:00:00"/>
        <d v="2024-03-24T00:00:00"/>
        <d v="2024-11-04T00:00:00"/>
        <d v="2024-01-22T00:00:00"/>
        <d v="2024-11-29T00:00:00"/>
        <d v="2024-05-05T00:00:00"/>
        <d v="2024-07-13T00:00:00"/>
        <d v="2024-06-23T00:00:00"/>
        <d v="2024-07-27T00:00:00"/>
        <d v="2024-04-23T00:00:00"/>
        <d v="2024-08-10T00:00:00"/>
        <d v="2024-08-04T00:00:00"/>
        <d v="2024-10-28T00:00:00"/>
        <d v="2024-01-04T00:00:00"/>
        <d v="2024-12-23T00:00:00"/>
        <d v="2024-08-13T00:00:00"/>
        <d v="2024-07-02T00:00:00"/>
        <d v="2024-01-03T00:00:00"/>
        <d v="2024-01-06T00:00:00"/>
        <d v="2024-08-18T00:00:00"/>
        <d v="2024-03-17T00:00:00"/>
        <d v="2024-10-18T00:00:00"/>
        <d v="2024-09-09T00:00:00"/>
        <d v="2024-04-27T00:00:00"/>
        <d v="2024-03-30T00:00:00"/>
        <d v="2024-08-09T00:00:00"/>
        <d v="2024-06-17T00:00:00"/>
        <d v="2024-09-05T00:00:00"/>
        <d v="2024-05-27T00:00:00"/>
        <d v="2024-08-06T00:00:00"/>
        <d v="2024-11-27T00:00:00"/>
        <d v="2024-09-10T00:00:00"/>
        <d v="2024-08-16T00:00:00"/>
        <d v="2024-02-05T00:00:00"/>
        <d v="2024-11-16T00:00:00"/>
        <d v="2024-02-06T00:00:00"/>
        <d v="2024-07-12T00:00:00"/>
        <d v="2024-10-27T00:00:00"/>
        <d v="2024-04-09T00:00:00"/>
        <d v="2024-03-12T00:00:00"/>
        <d v="2024-11-17T00:00:00"/>
        <d v="2024-06-16T00:00:00"/>
        <d v="2024-03-25T00:00:00"/>
        <d v="2024-03-13T00:00:00"/>
        <d v="2024-04-03T00:00:00"/>
        <d v="2024-10-03T00:00:00"/>
        <d v="2024-10-16T00:00:00"/>
        <d v="2024-03-16T00:00:00"/>
        <d v="2024-09-01T00:00:00"/>
        <d v="2024-11-25T00:00:00"/>
        <d v="2024-10-26T00:00:00"/>
        <d v="2024-12-17T00:00:00"/>
        <d v="2024-09-07T00:00:00"/>
        <d v="2024-04-08T00:00:00"/>
        <d v="2024-07-24T00:00:00"/>
        <d v="2024-01-26T00:00:00"/>
        <d v="2024-04-20T00:00:00"/>
        <d v="2024-11-03T00:00:00"/>
        <d v="2024-07-26T00:00:00"/>
        <d v="2024-03-27T00:00:00"/>
        <d v="2024-03-15T00:00:00"/>
        <d v="2024-08-24T00:00:00"/>
        <d v="2024-09-13T00:00:00"/>
        <d v="2024-01-21T00:00:00"/>
        <d v="2024-06-22T00:00:00"/>
        <d v="2024-05-25T00:00:00"/>
        <d v="2024-06-28T00:00:00"/>
        <d v="2024-07-06T00:00:00"/>
        <d v="2024-03-19T00:00:00"/>
        <d v="2024-08-28T00:00:00"/>
        <d v="2024-02-08T00:00:00"/>
        <d v="2024-09-19T00:00:00"/>
        <d v="2024-11-28T00:00:00"/>
        <d v="2024-11-23T00:00:00"/>
        <d v="2024-09-20T00:00:00"/>
        <d v="2024-10-19T00:00:00"/>
        <d v="2024-01-07T00:00:00"/>
        <d v="2024-06-10T00:00:00"/>
        <d v="2024-05-10T00:00:00"/>
        <d v="2024-07-07T00:00:00"/>
        <d v="2024-02-04T00:00:00"/>
        <d v="2024-06-08T00:00:00"/>
        <d v="2024-12-13T00:00:00"/>
        <d v="2024-11-26T00:00:00"/>
      </sharedItems>
      <fieldGroup par="15"/>
    </cacheField>
    <cacheField name="Months" numFmtId="170">
      <sharedItems/>
    </cacheField>
    <cacheField name="Discharge Date" numFmtId="0">
      <sharedItems/>
    </cacheField>
    <cacheField name="Age" numFmtId="0">
      <sharedItems containsSemiMixedTypes="0" containsString="0" containsNumber="1" containsInteger="1" minValue="18" maxValue="80"/>
    </cacheField>
    <cacheField name="Gender" numFmtId="0">
      <sharedItems count="2">
        <s v="Male"/>
        <s v="Female"/>
      </sharedItems>
    </cacheField>
    <cacheField name="Ward" numFmtId="0">
      <sharedItems/>
    </cacheField>
    <cacheField name="Doctor" numFmtId="0">
      <sharedItems/>
    </cacheField>
    <cacheField name="Diagnosis" numFmtId="0">
      <sharedItems/>
    </cacheField>
    <cacheField name="Treatment" numFmtId="0">
      <sharedItems/>
    </cacheField>
    <cacheField name="Outcome" numFmtId="0">
      <sharedItems/>
    </cacheField>
    <cacheField name="LOS (Days)" numFmtId="0">
      <sharedItems containsSemiMixedTypes="0" containsString="0" containsNumber="1" containsInteger="1" minValue="1" maxValue="14"/>
    </cacheField>
    <cacheField name="Bill ()" numFmtId="164">
      <sharedItems containsSemiMixedTypes="0" containsString="0" containsNumber="1" minValue="5539.31" maxValue="79806.94" count="199">
        <n v="23366.89"/>
        <n v="22449.57"/>
        <n v="65707.28"/>
        <n v="12665.77"/>
        <n v="45217.11"/>
        <n v="48301.41"/>
        <n v="33509.47"/>
        <n v="75249.09"/>
        <n v="79214.25"/>
        <n v="35087.360000000001"/>
        <n v="15715.37"/>
        <n v="79799.429999999993"/>
        <n v="64405.95"/>
        <n v="77830.880000000005"/>
        <n v="16861.830000000002"/>
        <n v="50672.77"/>
        <n v="6460.76"/>
        <n v="11424.01"/>
        <n v="70432.479999999996"/>
        <n v="14075.31"/>
        <n v="5539.31"/>
        <n v="25885.79"/>
        <n v="65562.27"/>
        <n v="55502.34"/>
        <n v="45221.43"/>
        <n v="65601.67"/>
        <n v="17473.330000000002"/>
        <n v="24890.23"/>
        <n v="21327.57"/>
        <n v="73954.03"/>
        <n v="55640.94"/>
        <n v="11148.76"/>
        <n v="14815.87"/>
        <n v="79707.23"/>
        <n v="70945.27"/>
        <n v="44670.55"/>
        <n v="16658.59"/>
        <n v="72900.240000000005"/>
        <n v="52783.5"/>
        <n v="75878.820000000007"/>
        <n v="8137.16"/>
        <n v="71310.100000000006"/>
        <n v="18452.05"/>
        <n v="33690.629999999997"/>
        <n v="21719.27"/>
        <n v="31335.96"/>
        <n v="7869.29"/>
        <n v="33889.660000000003"/>
        <n v="56514.29"/>
        <n v="68601.149999999994"/>
        <n v="14546.58"/>
        <n v="27790.62"/>
        <n v="40488.959999999999"/>
        <n v="55459.68"/>
        <n v="68730.33"/>
        <n v="16067.85"/>
        <n v="39841.24"/>
        <n v="49658.92"/>
        <n v="38755.230000000003"/>
        <n v="58515.86"/>
        <n v="33727.65"/>
        <n v="9669.93"/>
        <n v="75705.62"/>
        <n v="21456.62"/>
        <n v="73965.62"/>
        <n v="53206.22"/>
        <n v="29513.439999999999"/>
        <n v="8906.42"/>
        <n v="67942.16"/>
        <n v="57459.87"/>
        <n v="77354.06"/>
        <n v="10699.74"/>
        <n v="31040.28"/>
        <n v="12915.42"/>
        <n v="25256.18"/>
        <n v="67304.83"/>
        <n v="30229.75"/>
        <n v="25974.39"/>
        <n v="41643.339999999997"/>
        <n v="35330.080000000002"/>
        <n v="29809.35"/>
        <n v="28666.1"/>
        <n v="78245.53"/>
        <n v="27670.07"/>
        <n v="75806.720000000001"/>
        <n v="30552.94"/>
        <n v="48276.59"/>
        <n v="46855.48"/>
        <n v="69512.5"/>
        <n v="54532.11"/>
        <n v="56702.84"/>
        <n v="10338.48"/>
        <n v="73130.86"/>
        <n v="74089.440000000002"/>
        <n v="37831.910000000003"/>
        <n v="77143.33"/>
        <n v="40287.56"/>
        <n v="77679.14"/>
        <n v="35873.379999999997"/>
        <n v="29245.53"/>
        <n v="32133.45"/>
        <n v="37858.71"/>
        <n v="46312.93"/>
        <n v="67410.740000000005"/>
        <n v="15848.15"/>
        <n v="25037.95"/>
        <n v="45393.54"/>
        <n v="47884.82"/>
        <n v="78561.36"/>
        <n v="12478.38"/>
        <n v="30392.09"/>
        <n v="58903.81"/>
        <n v="79806.94"/>
        <n v="72756.800000000003"/>
        <n v="44837.47"/>
        <n v="56235.09"/>
        <n v="5704.81"/>
        <n v="27436.57"/>
        <n v="12999"/>
        <n v="34685.43"/>
        <n v="50529.87"/>
        <n v="53475.55"/>
        <n v="61061.06"/>
        <n v="24272.76"/>
        <n v="61561.36"/>
        <n v="39108.949999999997"/>
        <n v="71317.61"/>
        <n v="15483.28"/>
        <n v="34148.44"/>
        <n v="51173.919999999998"/>
        <n v="12451.6"/>
        <n v="11875.51"/>
        <n v="20390.419999999998"/>
        <n v="64148.28"/>
        <n v="13244.48"/>
        <n v="18068.47"/>
        <n v="43492.85"/>
        <n v="77301.960000000006"/>
        <n v="72445.009999999995"/>
        <n v="46126.73"/>
        <n v="13581.06"/>
        <n v="34904.76"/>
        <n v="74223.88"/>
        <n v="65882.7"/>
        <n v="70106.91"/>
        <n v="20955.41"/>
        <n v="48057.5"/>
        <n v="62180.71"/>
        <n v="10218.91"/>
        <n v="16805.7"/>
        <n v="55547.65"/>
        <n v="61620.74"/>
        <n v="28131.45"/>
        <n v="62312.07"/>
        <n v="44943.68"/>
        <n v="74087.179999999993"/>
        <n v="6564.24"/>
        <n v="37675.74"/>
        <n v="10728.45"/>
        <n v="24197.62"/>
        <n v="61990.79"/>
        <n v="52353.88"/>
        <n v="7820.54"/>
        <n v="48524.71"/>
        <n v="16314.58"/>
        <n v="23580.78"/>
        <n v="55917.33"/>
        <n v="23899.68"/>
        <n v="28267.38"/>
        <n v="64374.65"/>
        <n v="18519.72"/>
        <n v="68332.13"/>
        <n v="17168.54"/>
        <n v="77719.149999999994"/>
        <n v="72798.080000000002"/>
        <n v="77470.11"/>
        <n v="75072.02"/>
        <n v="16051.15"/>
        <n v="42650.53"/>
        <n v="30146.78"/>
        <n v="38645.11"/>
        <n v="64542.43"/>
        <n v="48128.56"/>
        <n v="36242.57"/>
        <n v="46561.4"/>
        <n v="64139"/>
        <n v="30391.040000000001"/>
        <n v="7773.78"/>
        <n v="40504.980000000003"/>
        <n v="37771.35"/>
        <n v="74323.28"/>
        <n v="45910.58"/>
        <n v="17498.36"/>
        <n v="78502.05"/>
        <n v="16999"/>
        <n v="32474.639999999999"/>
        <n v="38295.449999999997"/>
        <n v="23720.87"/>
        <n v="24633.25"/>
      </sharedItems>
    </cacheField>
    <cacheField name="Satisfaction" numFmtId="1">
      <sharedItems containsSemiMixedTypes="0" containsString="0" containsNumber="1" containsInteger="1" minValue="70" maxValue="100"/>
    </cacheField>
    <cacheField name="Days (Visit Date)" numFmtId="0" databaseField="0">
      <fieldGroup base="1">
        <rangePr groupBy="days" startDate="2024-01-01T00:00:00" endDate="2024-12-26T00:00:00"/>
        <groupItems count="368">
          <s v="&lt;1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6/2024"/>
        </groupItems>
      </fieldGroup>
    </cacheField>
    <cacheField name="Months (Visit Date)" numFmtId="0" databaseField="0">
      <fieldGroup base="1">
        <rangePr groupBy="months" startDate="2024-01-01T00:00:00" endDate="2024-12-26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6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s v="PT0001"/>
    <x v="0"/>
    <b v="1"/>
    <s v="01-Jun-2024"/>
    <n v="19"/>
    <x v="0"/>
    <s v="Neurology"/>
    <s v="Dr. Singh"/>
    <s v="Diabetes Type 2"/>
    <s v="Metformin"/>
    <s v="Recovered"/>
    <n v="12"/>
    <x v="0"/>
    <n v="74"/>
  </r>
  <r>
    <s v="PT0002"/>
    <x v="1"/>
    <b v="1"/>
    <s v="23-Apr-2024"/>
    <n v="19"/>
    <x v="0"/>
    <s v="Neurology"/>
    <s v="Dr. Singh"/>
    <s v="Hypertension"/>
    <s v="ACE Inhibitors"/>
    <s v="Recovered"/>
    <n v="2"/>
    <x v="1"/>
    <n v="89"/>
  </r>
  <r>
    <s v="PT0003"/>
    <x v="2"/>
    <b v="1"/>
    <s v="01-Jun-2024"/>
    <n v="46"/>
    <x v="1"/>
    <s v="Pediatrics"/>
    <s v="Dr. Gupta"/>
    <s v="Pneumonia"/>
    <s v="Antibiotics"/>
    <s v="Improving"/>
    <n v="10"/>
    <x v="2"/>
    <n v="70"/>
  </r>
  <r>
    <s v="PT0004"/>
    <x v="3"/>
    <b v="1"/>
    <s v="04-Jul-2024"/>
    <n v="31"/>
    <x v="1"/>
    <s v="Pediatrics"/>
    <s v="Dr. Verma"/>
    <s v="Asthma"/>
    <s v="Bronchodilator"/>
    <s v="Recovered"/>
    <n v="13"/>
    <x v="3"/>
    <n v="82"/>
  </r>
  <r>
    <s v="PT0005"/>
    <x v="4"/>
    <b v="1"/>
    <s v="24-Aug-2024"/>
    <n v="69"/>
    <x v="0"/>
    <s v="Neurology"/>
    <s v="Dr. Gupta"/>
    <s v="Arthritis"/>
    <s v="NSAIDs"/>
    <s v="Worsening"/>
    <n v="1"/>
    <x v="4"/>
    <n v="99"/>
  </r>
  <r>
    <s v="PT0006"/>
    <x v="5"/>
    <b v="1"/>
    <s v="18-Jul-2024"/>
    <n v="74"/>
    <x v="0"/>
    <s v="ICU"/>
    <s v="Dr. Gupta"/>
    <s v="Depression"/>
    <s v="SSRIs"/>
    <s v="Recovered"/>
    <n v="14"/>
    <x v="5"/>
    <n v="92"/>
  </r>
  <r>
    <s v="PT0007"/>
    <x v="6"/>
    <b v="1"/>
    <s v="25-Feb-2024"/>
    <n v="72"/>
    <x v="0"/>
    <s v="Pediatrics"/>
    <s v="Dr. Gupta"/>
    <s v="Diabetes Type 2"/>
    <s v="Metformin"/>
    <s v="Stable"/>
    <n v="4"/>
    <x v="6"/>
    <n v="84"/>
  </r>
  <r>
    <s v="PT0008"/>
    <x v="7"/>
    <b v="1"/>
    <s v="30-Dec-2024"/>
    <n v="60"/>
    <x v="0"/>
    <s v="Neurology"/>
    <s v="Dr. Patel"/>
    <s v="Pneumonia"/>
    <s v="Antibiotics"/>
    <s v="Recovered"/>
    <n v="5"/>
    <x v="7"/>
    <n v="90"/>
  </r>
  <r>
    <s v="PT0009"/>
    <x v="8"/>
    <b v="1"/>
    <s v="25-May-2024"/>
    <n v="47"/>
    <x v="0"/>
    <s v="Pediatrics"/>
    <s v="Dr. Sharma"/>
    <s v="Asthma"/>
    <s v="Bronchodilator"/>
    <s v="Discharged"/>
    <n v="7"/>
    <x v="8"/>
    <n v="90"/>
  </r>
  <r>
    <s v="PT0010"/>
    <x v="9"/>
    <b v="1"/>
    <s v="11-Jun-2024"/>
    <n v="70"/>
    <x v="1"/>
    <s v="ICU"/>
    <s v="Dr. Singh"/>
    <s v="Pneumonia"/>
    <s v="Antibiotics"/>
    <s v="Improving"/>
    <n v="1"/>
    <x v="9"/>
    <n v="72"/>
  </r>
  <r>
    <s v="PT0011"/>
    <x v="10"/>
    <b v="1"/>
    <s v="02-Sep-2024"/>
    <n v="74"/>
    <x v="1"/>
    <s v="Neurology"/>
    <s v="Dr. Singh"/>
    <s v="Heart Disease"/>
    <s v="Beta Blockers"/>
    <s v="Improving"/>
    <n v="11"/>
    <x v="10"/>
    <n v="74"/>
  </r>
  <r>
    <s v="PT0012"/>
    <x v="11"/>
    <b v="1"/>
    <s v="28-Apr-2024"/>
    <n v="43"/>
    <x v="1"/>
    <s v="General"/>
    <s v="Dr. Sharma"/>
    <s v="Depression"/>
    <s v="SSRIs"/>
    <s v="Discharged"/>
    <n v="6"/>
    <x v="11"/>
    <n v="74"/>
  </r>
  <r>
    <s v="PT0013"/>
    <x v="12"/>
    <b v="1"/>
    <s v="02-Apr-2024"/>
    <n v="27"/>
    <x v="0"/>
    <s v="Cardiology"/>
    <s v="Dr. Singh"/>
    <s v="Diabetes Type 2"/>
    <s v="Metformin"/>
    <s v="Discharged"/>
    <n v="11"/>
    <x v="12"/>
    <n v="83"/>
  </r>
  <r>
    <s v="PT0014"/>
    <x v="13"/>
    <b v="1"/>
    <s v="17-May-2024"/>
    <n v="47"/>
    <x v="0"/>
    <s v="Neurology"/>
    <s v="Dr. Gupta"/>
    <s v="Depression"/>
    <s v="SSRIs"/>
    <s v="Recovered"/>
    <n v="9"/>
    <x v="13"/>
    <n v="97"/>
  </r>
  <r>
    <s v="PT0015"/>
    <x v="14"/>
    <b v="1"/>
    <s v="15-Aug-2024"/>
    <n v="25"/>
    <x v="0"/>
    <s v="Neurology"/>
    <s v="Dr. Sharma"/>
    <s v="Migraine"/>
    <s v="Triptans"/>
    <s v="Stable"/>
    <n v="5"/>
    <x v="14"/>
    <n v="70"/>
  </r>
  <r>
    <s v="PT0016"/>
    <x v="15"/>
    <b v="1"/>
    <s v="27-Sep-2024"/>
    <n v="71"/>
    <x v="0"/>
    <s v="Neurology"/>
    <s v="Dr. Verma"/>
    <s v="Arthritis"/>
    <s v="NSAIDs"/>
    <s v="Stable"/>
    <n v="11"/>
    <x v="15"/>
    <n v="74"/>
  </r>
  <r>
    <s v="PT0017"/>
    <x v="16"/>
    <b v="1"/>
    <s v="13-Sep-2024"/>
    <n v="56"/>
    <x v="1"/>
    <s v="ICU"/>
    <s v="Dr. Sharma"/>
    <s v="Hypertension"/>
    <s v="ACE Inhibitors"/>
    <s v="Stable"/>
    <n v="6"/>
    <x v="16"/>
    <n v="99"/>
  </r>
  <r>
    <s v="PT0018"/>
    <x v="17"/>
    <b v="1"/>
    <s v="20-Feb-2024"/>
    <n v="74"/>
    <x v="0"/>
    <s v="ICU"/>
    <s v="Dr. Singh"/>
    <s v="Pneumonia"/>
    <s v="Antibiotics"/>
    <s v="Recovered"/>
    <n v="10"/>
    <x v="17"/>
    <n v="85"/>
  </r>
  <r>
    <s v="PT0019"/>
    <x v="18"/>
    <b v="1"/>
    <s v="02-Oct-2024"/>
    <n v="28"/>
    <x v="0"/>
    <s v="Pediatrics"/>
    <s v="Dr. Singh"/>
    <s v="Thyroid Disorder"/>
    <s v="Levothyroxine"/>
    <s v="Improving"/>
    <n v="5"/>
    <x v="18"/>
    <n v="83"/>
  </r>
  <r>
    <s v="PT0020"/>
    <x v="19"/>
    <b v="1"/>
    <s v="28-Aug-2024"/>
    <n v="46"/>
    <x v="1"/>
    <s v="General"/>
    <s v="Dr. Verma"/>
    <s v="Migraine"/>
    <s v="Triptans"/>
    <s v="Recovered"/>
    <n v="9"/>
    <x v="19"/>
    <n v="77"/>
  </r>
  <r>
    <s v="PT0021"/>
    <x v="11"/>
    <b v="1"/>
    <s v="02-May-2024"/>
    <n v="32"/>
    <x v="0"/>
    <s v="General"/>
    <s v="Dr. Sharma"/>
    <s v="Thyroid Disorder"/>
    <s v="Levothyroxine"/>
    <s v="Recovered"/>
    <n v="10"/>
    <x v="20"/>
    <n v="92"/>
  </r>
  <r>
    <s v="PT0022"/>
    <x v="20"/>
    <b v="1"/>
    <s v="10-May-2024"/>
    <n v="22"/>
    <x v="0"/>
    <s v="Neurology"/>
    <s v="Dr. Verma"/>
    <s v="Migraine"/>
    <s v="Triptans"/>
    <s v="Improving"/>
    <n v="9"/>
    <x v="21"/>
    <n v="85"/>
  </r>
  <r>
    <s v="PT0023"/>
    <x v="21"/>
    <b v="1"/>
    <s v="12-Sep-2024"/>
    <n v="33"/>
    <x v="0"/>
    <s v="Cardiology"/>
    <s v="Dr. Gupta"/>
    <s v="Anemia"/>
    <s v="Iron Supplement"/>
    <s v="Recovered"/>
    <n v="13"/>
    <x v="22"/>
    <n v="76"/>
  </r>
  <r>
    <s v="PT0024"/>
    <x v="22"/>
    <b v="1"/>
    <s v="05-Feb-2024"/>
    <n v="44"/>
    <x v="0"/>
    <s v="Cardiology"/>
    <s v="Dr. Gupta"/>
    <s v="Heart Disease"/>
    <s v="Beta Blockers"/>
    <s v="Recovered"/>
    <n v="8"/>
    <x v="23"/>
    <n v="90"/>
  </r>
  <r>
    <s v="PT0025"/>
    <x v="23"/>
    <b v="1"/>
    <s v="11-Apr-2024"/>
    <n v="33"/>
    <x v="0"/>
    <s v="Pediatrics"/>
    <s v="Dr. Singh"/>
    <s v="Diabetes Type 2"/>
    <s v="Metformin"/>
    <s v="Worsening"/>
    <n v="4"/>
    <x v="24"/>
    <n v="74"/>
  </r>
  <r>
    <s v="PT0026"/>
    <x v="24"/>
    <b v="1"/>
    <s v="16-Aug-2024"/>
    <n v="73"/>
    <x v="0"/>
    <s v="General"/>
    <s v="Dr. Verma"/>
    <s v="Pneumonia"/>
    <s v="Antibiotics"/>
    <s v="Discharged"/>
    <n v="2"/>
    <x v="25"/>
    <n v="97"/>
  </r>
  <r>
    <s v="PT0027"/>
    <x v="20"/>
    <b v="1"/>
    <s v="03-May-2024"/>
    <n v="80"/>
    <x v="0"/>
    <s v="Cardiology"/>
    <s v="Dr. Sharma"/>
    <s v="Hypertension"/>
    <s v="ACE Inhibitors"/>
    <s v="Worsening"/>
    <n v="2"/>
    <x v="26"/>
    <n v="85"/>
  </r>
  <r>
    <s v="PT0028"/>
    <x v="25"/>
    <b v="1"/>
    <s v="19-Jul-2024"/>
    <n v="42"/>
    <x v="1"/>
    <s v="Cardiology"/>
    <s v="Dr. Verma"/>
    <s v="Asthma"/>
    <s v="Bronchodilator"/>
    <s v="Worsening"/>
    <n v="1"/>
    <x v="27"/>
    <n v="95"/>
  </r>
  <r>
    <s v="PT0029"/>
    <x v="26"/>
    <b v="1"/>
    <s v="04-Jun-2024"/>
    <n v="27"/>
    <x v="0"/>
    <s v="Pediatrics"/>
    <s v="Dr. Sharma"/>
    <s v="Anemia"/>
    <s v="Iron Supplement"/>
    <s v="Discharged"/>
    <n v="4"/>
    <x v="28"/>
    <n v="71"/>
  </r>
  <r>
    <s v="PT0030"/>
    <x v="27"/>
    <b v="1"/>
    <s v="22-Sep-2024"/>
    <n v="55"/>
    <x v="0"/>
    <s v="Neurology"/>
    <s v="Dr. Sharma"/>
    <s v="Hypertension"/>
    <s v="ACE Inhibitors"/>
    <s v="Improving"/>
    <n v="8"/>
    <x v="29"/>
    <n v="86"/>
  </r>
  <r>
    <s v="PT0031"/>
    <x v="28"/>
    <b v="1"/>
    <s v="14-Feb-2024"/>
    <n v="22"/>
    <x v="0"/>
    <s v="Neurology"/>
    <s v="Dr. Patel"/>
    <s v="Asthma"/>
    <s v="Bronchodilator"/>
    <s v="Worsening"/>
    <n v="10"/>
    <x v="30"/>
    <n v="77"/>
  </r>
  <r>
    <s v="PT0032"/>
    <x v="29"/>
    <b v="1"/>
    <s v="14-Nov-2024"/>
    <n v="56"/>
    <x v="1"/>
    <s v="Pediatrics"/>
    <s v="Dr. Patel"/>
    <s v="Depression"/>
    <s v="SSRIs"/>
    <s v="Discharged"/>
    <n v="1"/>
    <x v="31"/>
    <n v="91"/>
  </r>
  <r>
    <s v="PT0033"/>
    <x v="30"/>
    <b v="1"/>
    <s v="26-Jul-2024"/>
    <n v="33"/>
    <x v="1"/>
    <s v="Pediatrics"/>
    <s v="Dr. Sharma"/>
    <s v="Migraine"/>
    <s v="Triptans"/>
    <s v="Stable"/>
    <n v="5"/>
    <x v="32"/>
    <n v="90"/>
  </r>
  <r>
    <s v="PT0034"/>
    <x v="31"/>
    <b v="1"/>
    <s v="25-Oct-2024"/>
    <n v="47"/>
    <x v="0"/>
    <s v="Neurology"/>
    <s v="Dr. Gupta"/>
    <s v="Hypertension"/>
    <s v="ACE Inhibitors"/>
    <s v="Discharged"/>
    <n v="10"/>
    <x v="33"/>
    <n v="72"/>
  </r>
  <r>
    <s v="PT0035"/>
    <x v="32"/>
    <b v="1"/>
    <s v="11-Feb-2024"/>
    <n v="77"/>
    <x v="0"/>
    <s v="Cardiology"/>
    <s v="Dr. Verma"/>
    <s v="Asthma"/>
    <s v="Bronchodilator"/>
    <s v="Stable"/>
    <n v="6"/>
    <x v="34"/>
    <n v="81"/>
  </r>
  <r>
    <s v="PT0036"/>
    <x v="33"/>
    <b v="1"/>
    <s v="13-Dec-2024"/>
    <n v="57"/>
    <x v="1"/>
    <s v="General"/>
    <s v="Dr. Patel"/>
    <s v="Arthritis"/>
    <s v="NSAIDs"/>
    <s v="Discharged"/>
    <n v="13"/>
    <x v="35"/>
    <n v="91"/>
  </r>
  <r>
    <s v="PT0037"/>
    <x v="34"/>
    <b v="1"/>
    <s v="12-Oct-2024"/>
    <n v="25"/>
    <x v="0"/>
    <s v="Pediatrics"/>
    <s v="Dr. Patel"/>
    <s v="Arthritis"/>
    <s v="NSAIDs"/>
    <s v="Discharged"/>
    <n v="2"/>
    <x v="36"/>
    <n v="79"/>
  </r>
  <r>
    <s v="PT0038"/>
    <x v="13"/>
    <b v="1"/>
    <s v="16-May-2024"/>
    <n v="50"/>
    <x v="0"/>
    <s v="Cardiology"/>
    <s v="Dr. Gupta"/>
    <s v="Arthritis"/>
    <s v="NSAIDs"/>
    <s v="Recovered"/>
    <n v="8"/>
    <x v="37"/>
    <n v="97"/>
  </r>
  <r>
    <s v="PT0039"/>
    <x v="35"/>
    <b v="1"/>
    <s v="13-Mar-2024"/>
    <n v="18"/>
    <x v="1"/>
    <s v="Neurology"/>
    <s v="Dr. Singh"/>
    <s v="Hypertension"/>
    <s v="ACE Inhibitors"/>
    <s v="Improving"/>
    <n v="6"/>
    <x v="38"/>
    <n v="78"/>
  </r>
  <r>
    <s v="PT0040"/>
    <x v="36"/>
    <b v="1"/>
    <s v="10-Feb-2024"/>
    <n v="18"/>
    <x v="0"/>
    <s v="Pediatrics"/>
    <s v="Dr. Verma"/>
    <s v="Thyroid Disorder"/>
    <s v="Levothyroxine"/>
    <s v="Improving"/>
    <n v="2"/>
    <x v="39"/>
    <n v="92"/>
  </r>
  <r>
    <s v="PT0041"/>
    <x v="37"/>
    <b v="1"/>
    <s v="13-Mar-2024"/>
    <n v="27"/>
    <x v="1"/>
    <s v="ICU"/>
    <s v="Dr. Patel"/>
    <s v="Thyroid Disorder"/>
    <s v="Levothyroxine"/>
    <s v="Recovered"/>
    <n v="7"/>
    <x v="40"/>
    <n v="81"/>
  </r>
  <r>
    <s v="PT0042"/>
    <x v="38"/>
    <b v="1"/>
    <s v="26-Oct-2024"/>
    <n v="40"/>
    <x v="0"/>
    <s v="ICU"/>
    <s v="Dr. Patel"/>
    <s v="Diabetes Type 2"/>
    <s v="Metformin"/>
    <s v="Discharged"/>
    <n v="13"/>
    <x v="41"/>
    <n v="83"/>
  </r>
  <r>
    <s v="PT0043"/>
    <x v="39"/>
    <b v="1"/>
    <s v="20-Jan-2024"/>
    <n v="74"/>
    <x v="1"/>
    <s v="ICU"/>
    <s v="Dr. Gupta"/>
    <s v="Asthma"/>
    <s v="Bronchodilator"/>
    <s v="Stable"/>
    <n v="7"/>
    <x v="42"/>
    <n v="99"/>
  </r>
  <r>
    <s v="PT0044"/>
    <x v="40"/>
    <b v="1"/>
    <s v="08-Mar-2024"/>
    <n v="68"/>
    <x v="0"/>
    <s v="ICU"/>
    <s v="Dr. Singh"/>
    <s v="Asthma"/>
    <s v="Bronchodilator"/>
    <s v="Worsening"/>
    <n v="12"/>
    <x v="43"/>
    <n v="71"/>
  </r>
  <r>
    <s v="PT0045"/>
    <x v="41"/>
    <b v="1"/>
    <s v="10-May-2024"/>
    <n v="37"/>
    <x v="1"/>
    <s v="Pediatrics"/>
    <s v="Dr. Gupta"/>
    <s v="Migraine"/>
    <s v="Triptans"/>
    <s v="Improving"/>
    <n v="14"/>
    <x v="44"/>
    <n v="91"/>
  </r>
  <r>
    <s v="PT0046"/>
    <x v="2"/>
    <b v="1"/>
    <s v="04-Jun-2024"/>
    <n v="79"/>
    <x v="1"/>
    <s v="General"/>
    <s v="Dr. Sharma"/>
    <s v="Diabetes Type 2"/>
    <s v="Metformin"/>
    <s v="Worsening"/>
    <n v="13"/>
    <x v="45"/>
    <n v="86"/>
  </r>
  <r>
    <s v="PT0047"/>
    <x v="42"/>
    <b v="1"/>
    <s v="25-May-2024"/>
    <n v="29"/>
    <x v="1"/>
    <s v="Pediatrics"/>
    <s v="Dr. Singh"/>
    <s v="Arthritis"/>
    <s v="NSAIDs"/>
    <s v="Worsening"/>
    <n v="10"/>
    <x v="46"/>
    <n v="89"/>
  </r>
  <r>
    <s v="PT0048"/>
    <x v="43"/>
    <b v="1"/>
    <s v="09-Mar-2024"/>
    <n v="80"/>
    <x v="1"/>
    <s v="General"/>
    <s v="Dr. Singh"/>
    <s v="Depression"/>
    <s v="SSRIs"/>
    <s v="Improving"/>
    <n v="9"/>
    <x v="47"/>
    <n v="88"/>
  </r>
  <r>
    <s v="PT0049"/>
    <x v="44"/>
    <b v="1"/>
    <s v="15-Oct-2024"/>
    <n v="51"/>
    <x v="1"/>
    <s v="Cardiology"/>
    <s v="Dr. Sharma"/>
    <s v="Hypertension"/>
    <s v="ACE Inhibitors"/>
    <s v="Improving"/>
    <n v="13"/>
    <x v="48"/>
    <n v="100"/>
  </r>
  <r>
    <s v="PT0050"/>
    <x v="45"/>
    <b v="1"/>
    <s v="11-Dec-2024"/>
    <n v="57"/>
    <x v="1"/>
    <s v="Cardiology"/>
    <s v="Dr. Gupta"/>
    <s v="Migraine"/>
    <s v="Triptans"/>
    <s v="Stable"/>
    <n v="6"/>
    <x v="49"/>
    <n v="93"/>
  </r>
  <r>
    <s v="PT0051"/>
    <x v="34"/>
    <b v="1"/>
    <s v="15-Oct-2024"/>
    <n v="62"/>
    <x v="0"/>
    <s v="Neurology"/>
    <s v="Dr. Verma"/>
    <s v="Heart Disease"/>
    <s v="Beta Blockers"/>
    <s v="Worsening"/>
    <n v="5"/>
    <x v="50"/>
    <n v="83"/>
  </r>
  <r>
    <s v="PT0052"/>
    <x v="46"/>
    <b v="1"/>
    <s v="10-Jan-2024"/>
    <n v="43"/>
    <x v="1"/>
    <s v="Cardiology"/>
    <s v="Dr. Singh"/>
    <s v="Arthritis"/>
    <s v="NSAIDs"/>
    <s v="Worsening"/>
    <n v="9"/>
    <x v="51"/>
    <n v="76"/>
  </r>
  <r>
    <s v="PT0053"/>
    <x v="47"/>
    <b v="1"/>
    <s v="22-Sep-2024"/>
    <n v="61"/>
    <x v="0"/>
    <s v="Pediatrics"/>
    <s v="Dr. Verma"/>
    <s v="Anemia"/>
    <s v="Iron Supplement"/>
    <s v="Improving"/>
    <n v="4"/>
    <x v="52"/>
    <n v="98"/>
  </r>
  <r>
    <s v="PT0054"/>
    <x v="48"/>
    <b v="1"/>
    <s v="02-May-2024"/>
    <n v="39"/>
    <x v="0"/>
    <s v="General"/>
    <s v="Dr. Sharma"/>
    <s v="Depression"/>
    <s v="SSRIs"/>
    <s v="Improving"/>
    <n v="2"/>
    <x v="53"/>
    <n v="77"/>
  </r>
  <r>
    <s v="PT0055"/>
    <x v="49"/>
    <b v="1"/>
    <s v="16-Nov-2024"/>
    <n v="80"/>
    <x v="1"/>
    <s v="Neurology"/>
    <s v="Dr. Patel"/>
    <s v="Pneumonia"/>
    <s v="Antibiotics"/>
    <s v="Worsening"/>
    <n v="8"/>
    <x v="54"/>
    <n v="72"/>
  </r>
  <r>
    <s v="PT0056"/>
    <x v="50"/>
    <b v="1"/>
    <s v="11-May-2024"/>
    <n v="49"/>
    <x v="0"/>
    <s v="Cardiology"/>
    <s v="Dr. Patel"/>
    <s v="Heart Disease"/>
    <s v="Beta Blockers"/>
    <s v="Recovered"/>
    <n v="7"/>
    <x v="55"/>
    <n v="92"/>
  </r>
  <r>
    <s v="PT0057"/>
    <x v="51"/>
    <b v="1"/>
    <s v="04-Oct-2024"/>
    <n v="69"/>
    <x v="0"/>
    <s v="Cardiology"/>
    <s v="Dr. Patel"/>
    <s v="Asthma"/>
    <s v="Bronchodilator"/>
    <s v="Improving"/>
    <n v="12"/>
    <x v="56"/>
    <n v="87"/>
  </r>
  <r>
    <s v="PT0058"/>
    <x v="38"/>
    <b v="1"/>
    <s v="22-Oct-2024"/>
    <n v="60"/>
    <x v="1"/>
    <s v="Neurology"/>
    <s v="Dr. Singh"/>
    <s v="Anemia"/>
    <s v="Iron Supplement"/>
    <s v="Worsening"/>
    <n v="9"/>
    <x v="57"/>
    <n v="100"/>
  </r>
  <r>
    <s v="PT0059"/>
    <x v="52"/>
    <b v="1"/>
    <s v="14-Sep-2024"/>
    <n v="65"/>
    <x v="1"/>
    <s v="Neurology"/>
    <s v="Dr. Singh"/>
    <s v="Asthma"/>
    <s v="Bronchodilator"/>
    <s v="Improving"/>
    <n v="14"/>
    <x v="58"/>
    <n v="94"/>
  </r>
  <r>
    <s v="PT0060"/>
    <x v="53"/>
    <b v="1"/>
    <s v="17-Feb-2024"/>
    <n v="35"/>
    <x v="1"/>
    <s v="Pediatrics"/>
    <s v="Dr. Verma"/>
    <s v="Pneumonia"/>
    <s v="Antibiotics"/>
    <s v="Stable"/>
    <n v="8"/>
    <x v="59"/>
    <n v="77"/>
  </r>
  <r>
    <s v="PT0061"/>
    <x v="54"/>
    <b v="1"/>
    <s v="01-May-2024"/>
    <n v="26"/>
    <x v="0"/>
    <s v="Cardiology"/>
    <s v="Dr. Singh"/>
    <s v="Diabetes Type 2"/>
    <s v="Metformin"/>
    <s v="Improving"/>
    <n v="3"/>
    <x v="60"/>
    <n v="74"/>
  </r>
  <r>
    <s v="PT0062"/>
    <x v="55"/>
    <b v="1"/>
    <s v="08-Aug-2024"/>
    <n v="52"/>
    <x v="1"/>
    <s v="Neurology"/>
    <s v="Dr. Sharma"/>
    <s v="Migraine"/>
    <s v="Triptans"/>
    <s v="Worsening"/>
    <n v="8"/>
    <x v="61"/>
    <n v="96"/>
  </r>
  <r>
    <s v="PT0063"/>
    <x v="56"/>
    <b v="1"/>
    <s v="12-Jan-2024"/>
    <n v="42"/>
    <x v="1"/>
    <s v="Neurology"/>
    <s v="Dr. Verma"/>
    <s v="Depression"/>
    <s v="SSRIs"/>
    <s v="Worsening"/>
    <n v="8"/>
    <x v="62"/>
    <n v="79"/>
  </r>
  <r>
    <s v="PT0064"/>
    <x v="57"/>
    <b v="1"/>
    <s v="10-Sep-2024"/>
    <n v="75"/>
    <x v="0"/>
    <s v="Cardiology"/>
    <s v="Dr. Gupta"/>
    <s v="Depression"/>
    <s v="SSRIs"/>
    <s v="Worsening"/>
    <n v="4"/>
    <x v="63"/>
    <n v="83"/>
  </r>
  <r>
    <s v="PT0065"/>
    <x v="58"/>
    <b v="1"/>
    <s v="30-Aug-2024"/>
    <n v="64"/>
    <x v="0"/>
    <s v="Cardiology"/>
    <s v="Dr. Verma"/>
    <s v="Heart Disease"/>
    <s v="Beta Blockers"/>
    <s v="Discharged"/>
    <n v="3"/>
    <x v="64"/>
    <n v="89"/>
  </r>
  <r>
    <s v="PT0066"/>
    <x v="59"/>
    <b v="1"/>
    <s v="13-Feb-2024"/>
    <n v="60"/>
    <x v="0"/>
    <s v="General"/>
    <s v="Dr. Gupta"/>
    <s v="Depression"/>
    <s v="SSRIs"/>
    <s v="Worsening"/>
    <n v="1"/>
    <x v="65"/>
    <n v="74"/>
  </r>
  <r>
    <s v="PT0067"/>
    <x v="60"/>
    <b v="1"/>
    <s v="24-Aug-2024"/>
    <n v="38"/>
    <x v="1"/>
    <s v="Cardiology"/>
    <s v="Dr. Gupta"/>
    <s v="Heart Disease"/>
    <s v="Beta Blockers"/>
    <s v="Worsening"/>
    <n v="4"/>
    <x v="66"/>
    <n v="94"/>
  </r>
  <r>
    <s v="PT0068"/>
    <x v="61"/>
    <b v="1"/>
    <s v="04-Oct-2024"/>
    <n v="48"/>
    <x v="0"/>
    <s v="General"/>
    <s v="Dr. Sharma"/>
    <s v="Diabetes Type 2"/>
    <s v="Metformin"/>
    <s v="Stable"/>
    <n v="1"/>
    <x v="67"/>
    <n v="100"/>
  </r>
  <r>
    <s v="PT0069"/>
    <x v="62"/>
    <b v="1"/>
    <s v="16-Apr-2024"/>
    <n v="78"/>
    <x v="0"/>
    <s v="ICU"/>
    <s v="Dr. Singh"/>
    <s v="Hypertension"/>
    <s v="ACE Inhibitors"/>
    <s v="Improving"/>
    <n v="4"/>
    <x v="68"/>
    <n v="89"/>
  </r>
  <r>
    <s v="PT0070"/>
    <x v="63"/>
    <b v="1"/>
    <s v="30-Aug-2024"/>
    <n v="54"/>
    <x v="0"/>
    <s v="Neurology"/>
    <s v="Dr. Verma"/>
    <s v="Diabetes Type 2"/>
    <s v="Metformin"/>
    <s v="Stable"/>
    <n v="4"/>
    <x v="69"/>
    <n v="94"/>
  </r>
  <r>
    <s v="PT0071"/>
    <x v="64"/>
    <b v="1"/>
    <s v="07-Apr-2024"/>
    <n v="67"/>
    <x v="0"/>
    <s v="Pediatrics"/>
    <s v="Dr. Verma"/>
    <s v="Diabetes Type 2"/>
    <s v="Metformin"/>
    <s v="Discharged"/>
    <n v="14"/>
    <x v="70"/>
    <n v="73"/>
  </r>
  <r>
    <s v="PT0072"/>
    <x v="65"/>
    <b v="1"/>
    <s v="23-Apr-2024"/>
    <n v="43"/>
    <x v="0"/>
    <s v="Pediatrics"/>
    <s v="Dr. Verma"/>
    <s v="Heart Disease"/>
    <s v="Beta Blockers"/>
    <s v="Improving"/>
    <n v="12"/>
    <x v="71"/>
    <n v="92"/>
  </r>
  <r>
    <s v="PT0073"/>
    <x v="66"/>
    <b v="1"/>
    <s v="01-Feb-2024"/>
    <n v="68"/>
    <x v="0"/>
    <s v="Neurology"/>
    <s v="Dr. Gupta"/>
    <s v="Diabetes Type 2"/>
    <s v="Metformin"/>
    <s v="Stable"/>
    <n v="10"/>
    <x v="72"/>
    <n v="83"/>
  </r>
  <r>
    <s v="PT0074"/>
    <x v="16"/>
    <b v="1"/>
    <s v="14-Sep-2024"/>
    <n v="72"/>
    <x v="1"/>
    <s v="ICU"/>
    <s v="Dr. Singh"/>
    <s v="Hypertension"/>
    <s v="ACE Inhibitors"/>
    <s v="Stable"/>
    <n v="7"/>
    <x v="73"/>
    <n v="100"/>
  </r>
  <r>
    <s v="PT0075"/>
    <x v="67"/>
    <b v="1"/>
    <s v="08-Dec-2024"/>
    <n v="64"/>
    <x v="1"/>
    <s v="Cardiology"/>
    <s v="Dr. Singh"/>
    <s v="Asthma"/>
    <s v="Bronchodilator"/>
    <s v="Discharged"/>
    <n v="9"/>
    <x v="74"/>
    <n v="95"/>
  </r>
  <r>
    <s v="PT0076"/>
    <x v="68"/>
    <b v="1"/>
    <s v="11-May-2024"/>
    <n v="35"/>
    <x v="1"/>
    <s v="ICU"/>
    <s v="Dr. Singh"/>
    <s v="Depression"/>
    <s v="SSRIs"/>
    <s v="Stable"/>
    <n v="6"/>
    <x v="75"/>
    <n v="72"/>
  </r>
  <r>
    <s v="PT0077"/>
    <x v="69"/>
    <b v="1"/>
    <s v="24-Jul-2024"/>
    <n v="57"/>
    <x v="0"/>
    <s v="Cardiology"/>
    <s v="Dr. Patel"/>
    <s v="Depression"/>
    <s v="SSRIs"/>
    <s v="Stable"/>
    <n v="11"/>
    <x v="76"/>
    <n v="85"/>
  </r>
  <r>
    <s v="PT0078"/>
    <x v="70"/>
    <b v="1"/>
    <s v="28-Jun-2024"/>
    <n v="69"/>
    <x v="0"/>
    <s v="Neurology"/>
    <s v="Dr. Patel"/>
    <s v="Migraine"/>
    <s v="Triptans"/>
    <s v="Stable"/>
    <n v="5"/>
    <x v="77"/>
    <n v="89"/>
  </r>
  <r>
    <s v="PT0079"/>
    <x v="71"/>
    <b v="1"/>
    <s v="08-Aug-2024"/>
    <n v="33"/>
    <x v="1"/>
    <s v="Cardiology"/>
    <s v="Dr. Singh"/>
    <s v="Diabetes Type 2"/>
    <s v="Metformin"/>
    <s v="Improving"/>
    <n v="12"/>
    <x v="78"/>
    <n v="94"/>
  </r>
  <r>
    <s v="PT0080"/>
    <x v="72"/>
    <b v="1"/>
    <s v="28-Apr-2024"/>
    <n v="23"/>
    <x v="1"/>
    <s v="Cardiology"/>
    <s v="Dr. Verma"/>
    <s v="Hypertension"/>
    <s v="ACE Inhibitors"/>
    <s v="Stable"/>
    <n v="5"/>
    <x v="79"/>
    <n v="77"/>
  </r>
  <r>
    <s v="PT0081"/>
    <x v="73"/>
    <b v="1"/>
    <s v="15-Oct-2024"/>
    <n v="40"/>
    <x v="1"/>
    <s v="Pediatrics"/>
    <s v="Dr. Gupta"/>
    <s v="Thyroid Disorder"/>
    <s v="Levothyroxine"/>
    <s v="Worsening"/>
    <n v="7"/>
    <x v="80"/>
    <n v="92"/>
  </r>
  <r>
    <s v="PT0082"/>
    <x v="74"/>
    <b v="1"/>
    <s v="20-Apr-2024"/>
    <n v="25"/>
    <x v="0"/>
    <s v="ICU"/>
    <s v="Dr. Patel"/>
    <s v="Pneumonia"/>
    <s v="Antibiotics"/>
    <s v="Discharged"/>
    <n v="12"/>
    <x v="81"/>
    <n v="93"/>
  </r>
  <r>
    <s v="PT0083"/>
    <x v="75"/>
    <b v="1"/>
    <s v="09-Nov-2024"/>
    <n v="35"/>
    <x v="1"/>
    <s v="General"/>
    <s v="Dr. Patel"/>
    <s v="Anemia"/>
    <s v="Iron Supplement"/>
    <s v="Discharged"/>
    <n v="12"/>
    <x v="82"/>
    <n v="86"/>
  </r>
  <r>
    <s v="PT0084"/>
    <x v="76"/>
    <b v="1"/>
    <s v="07-Apr-2024"/>
    <n v="32"/>
    <x v="0"/>
    <s v="Pediatrics"/>
    <s v="Dr. Sharma"/>
    <s v="Arthritis"/>
    <s v="NSAIDs"/>
    <s v="Discharged"/>
    <n v="6"/>
    <x v="83"/>
    <n v="92"/>
  </r>
  <r>
    <s v="PT0085"/>
    <x v="77"/>
    <b v="1"/>
    <s v="28-Dec-2024"/>
    <n v="53"/>
    <x v="0"/>
    <s v="General"/>
    <s v="Dr. Verma"/>
    <s v="Hypertension"/>
    <s v="ACE Inhibitors"/>
    <s v="Worsening"/>
    <n v="5"/>
    <x v="84"/>
    <n v="90"/>
  </r>
  <r>
    <s v="PT0086"/>
    <x v="78"/>
    <b v="1"/>
    <s v="21-Aug-2024"/>
    <n v="48"/>
    <x v="1"/>
    <s v="Cardiology"/>
    <s v="Dr. Sharma"/>
    <s v="Arthritis"/>
    <s v="NSAIDs"/>
    <s v="Recovered"/>
    <n v="8"/>
    <x v="85"/>
    <n v="100"/>
  </r>
  <r>
    <s v="PT0087"/>
    <x v="79"/>
    <b v="1"/>
    <s v="15-Feb-2024"/>
    <n v="43"/>
    <x v="0"/>
    <s v="ICU"/>
    <s v="Dr. Verma"/>
    <s v="Diabetes Type 2"/>
    <s v="Metformin"/>
    <s v="Recovered"/>
    <n v="8"/>
    <x v="86"/>
    <n v="91"/>
  </r>
  <r>
    <s v="PT0088"/>
    <x v="80"/>
    <b v="1"/>
    <s v="05-Mar-2024"/>
    <n v="23"/>
    <x v="0"/>
    <s v="Neurology"/>
    <s v="Dr. Singh"/>
    <s v="Arthritis"/>
    <s v="NSAIDs"/>
    <s v="Discharged"/>
    <n v="4"/>
    <x v="87"/>
    <n v="83"/>
  </r>
  <r>
    <s v="PT0089"/>
    <x v="81"/>
    <b v="1"/>
    <s v="09-Jun-2024"/>
    <n v="76"/>
    <x v="0"/>
    <s v="Neurology"/>
    <s v="Dr. Sharma"/>
    <s v="Anemia"/>
    <s v="Iron Supplement"/>
    <s v="Stable"/>
    <n v="8"/>
    <x v="88"/>
    <n v="83"/>
  </r>
  <r>
    <s v="PT0090"/>
    <x v="42"/>
    <b v="1"/>
    <s v="19-May-2024"/>
    <n v="58"/>
    <x v="0"/>
    <s v="Neurology"/>
    <s v="Dr. Sharma"/>
    <s v="Pneumonia"/>
    <s v="Antibiotics"/>
    <s v="Improving"/>
    <n v="4"/>
    <x v="89"/>
    <n v="75"/>
  </r>
  <r>
    <s v="PT0091"/>
    <x v="82"/>
    <b v="1"/>
    <s v="25-Aug-2024"/>
    <n v="18"/>
    <x v="0"/>
    <s v="ICU"/>
    <s v="Dr. Gupta"/>
    <s v="Asthma"/>
    <s v="Bronchodilator"/>
    <s v="Stable"/>
    <n v="7"/>
    <x v="90"/>
    <n v="85"/>
  </r>
  <r>
    <s v="PT0092"/>
    <x v="60"/>
    <b v="1"/>
    <s v="03-Sep-2024"/>
    <n v="62"/>
    <x v="0"/>
    <s v="Cardiology"/>
    <s v="Dr. Sharma"/>
    <s v="Arthritis"/>
    <s v="NSAIDs"/>
    <s v="Stable"/>
    <n v="14"/>
    <x v="91"/>
    <n v="77"/>
  </r>
  <r>
    <s v="PT0093"/>
    <x v="83"/>
    <b v="1"/>
    <s v="28-Mar-2024"/>
    <n v="32"/>
    <x v="0"/>
    <s v="General"/>
    <s v="Dr. Patel"/>
    <s v="Thyroid Disorder"/>
    <s v="Levothyroxine"/>
    <s v="Improving"/>
    <n v="11"/>
    <x v="92"/>
    <n v="96"/>
  </r>
  <r>
    <s v="PT0094"/>
    <x v="84"/>
    <b v="1"/>
    <s v="30-Oct-2024"/>
    <n v="56"/>
    <x v="1"/>
    <s v="Pediatrics"/>
    <s v="Dr. Singh"/>
    <s v="Arthritis"/>
    <s v="NSAIDs"/>
    <s v="Recovered"/>
    <n v="12"/>
    <x v="93"/>
    <n v="84"/>
  </r>
  <r>
    <s v="PT0095"/>
    <x v="85"/>
    <b v="1"/>
    <s v="18-Sep-2024"/>
    <n v="50"/>
    <x v="1"/>
    <s v="Pediatrics"/>
    <s v="Dr. Verma"/>
    <s v="Arthritis"/>
    <s v="NSAIDs"/>
    <s v="Recovered"/>
    <n v="9"/>
    <x v="94"/>
    <n v="89"/>
  </r>
  <r>
    <s v="PT0096"/>
    <x v="86"/>
    <b v="1"/>
    <s v="29-Apr-2024"/>
    <n v="19"/>
    <x v="0"/>
    <s v="Pediatrics"/>
    <s v="Dr. Verma"/>
    <s v="Arthritis"/>
    <s v="NSAIDs"/>
    <s v="Discharged"/>
    <n v="2"/>
    <x v="95"/>
    <n v="96"/>
  </r>
  <r>
    <s v="PT0097"/>
    <x v="87"/>
    <b v="1"/>
    <s v="12-Apr-2024"/>
    <n v="66"/>
    <x v="1"/>
    <s v="ICU"/>
    <s v="Dr. Verma"/>
    <s v="Hypertension"/>
    <s v="ACE Inhibitors"/>
    <s v="Worsening"/>
    <n v="13"/>
    <x v="96"/>
    <n v="90"/>
  </r>
  <r>
    <s v="PT0098"/>
    <x v="88"/>
    <b v="1"/>
    <s v="22-Sep-2024"/>
    <n v="58"/>
    <x v="1"/>
    <s v="Pediatrics"/>
    <s v="Dr. Gupta"/>
    <s v="Heart Disease"/>
    <s v="Beta Blockers"/>
    <s v="Stable"/>
    <n v="14"/>
    <x v="97"/>
    <n v="85"/>
  </r>
  <r>
    <s v="PT0099"/>
    <x v="89"/>
    <b v="1"/>
    <s v="20-Jun-2024"/>
    <n v="72"/>
    <x v="1"/>
    <s v="Neurology"/>
    <s v="Dr. Sharma"/>
    <s v="Diabetes Type 2"/>
    <s v="Metformin"/>
    <s v="Stable"/>
    <n v="3"/>
    <x v="98"/>
    <n v="85"/>
  </r>
  <r>
    <s v="PT0100"/>
    <x v="90"/>
    <b v="1"/>
    <s v="15-May-2024"/>
    <n v="23"/>
    <x v="0"/>
    <s v="Neurology"/>
    <s v="Dr. Singh"/>
    <s v="Anemia"/>
    <s v="Iron Supplement"/>
    <s v="Worsening"/>
    <n v="6"/>
    <x v="99"/>
    <n v="94"/>
  </r>
  <r>
    <s v="PT0101"/>
    <x v="51"/>
    <b v="1"/>
    <s v="26-Sep-2024"/>
    <n v="21"/>
    <x v="1"/>
    <s v="General"/>
    <s v="Dr. Patel"/>
    <s v="Heart Disease"/>
    <s v="Beta Blockers"/>
    <s v="Worsening"/>
    <n v="4"/>
    <x v="100"/>
    <n v="94"/>
  </r>
  <r>
    <s v="PT0102"/>
    <x v="91"/>
    <b v="1"/>
    <s v="30-May-2024"/>
    <n v="53"/>
    <x v="0"/>
    <s v="General"/>
    <s v="Dr. Verma"/>
    <s v="Arthritis"/>
    <s v="NSAIDs"/>
    <s v="Worsening"/>
    <n v="3"/>
    <x v="101"/>
    <n v="92"/>
  </r>
  <r>
    <s v="PT0103"/>
    <x v="92"/>
    <b v="1"/>
    <s v="11-Jun-2024"/>
    <n v="63"/>
    <x v="0"/>
    <s v="ICU"/>
    <s v="Dr. Sharma"/>
    <s v="Pneumonia"/>
    <s v="Antibiotics"/>
    <s v="Worsening"/>
    <n v="3"/>
    <x v="102"/>
    <n v="87"/>
  </r>
  <r>
    <s v="PT0104"/>
    <x v="93"/>
    <b v="1"/>
    <s v="29-Nov-2024"/>
    <n v="78"/>
    <x v="1"/>
    <s v="Cardiology"/>
    <s v="Dr. Singh"/>
    <s v="Anemia"/>
    <s v="Iron Supplement"/>
    <s v="Stable"/>
    <n v="2"/>
    <x v="103"/>
    <n v="85"/>
  </r>
  <r>
    <s v="PT0105"/>
    <x v="94"/>
    <b v="1"/>
    <s v="17-Oct-2024"/>
    <n v="33"/>
    <x v="0"/>
    <s v="General"/>
    <s v="Dr. Gupta"/>
    <s v="Anemia"/>
    <s v="Iron Supplement"/>
    <s v="Discharged"/>
    <n v="8"/>
    <x v="104"/>
    <n v="76"/>
  </r>
  <r>
    <s v="PT0106"/>
    <x v="15"/>
    <b v="1"/>
    <s v="29-Sep-2024"/>
    <n v="39"/>
    <x v="1"/>
    <s v="Neurology"/>
    <s v="Dr. Verma"/>
    <s v="Heart Disease"/>
    <s v="Beta Blockers"/>
    <s v="Stable"/>
    <n v="13"/>
    <x v="105"/>
    <n v="70"/>
  </r>
  <r>
    <s v="PT0107"/>
    <x v="95"/>
    <b v="1"/>
    <s v="19-Aug-2024"/>
    <n v="73"/>
    <x v="1"/>
    <s v="Cardiology"/>
    <s v="Dr. Gupta"/>
    <s v="Anemia"/>
    <s v="Iron Supplement"/>
    <s v="Stable"/>
    <n v="3"/>
    <x v="106"/>
    <n v="81"/>
  </r>
  <r>
    <s v="PT0108"/>
    <x v="96"/>
    <b v="1"/>
    <s v="14-May-2024"/>
    <n v="80"/>
    <x v="0"/>
    <s v="Pediatrics"/>
    <s v="Dr. Singh"/>
    <s v="Pneumonia"/>
    <s v="Antibiotics"/>
    <s v="Worsening"/>
    <n v="12"/>
    <x v="107"/>
    <n v="77"/>
  </r>
  <r>
    <s v="PT0109"/>
    <x v="67"/>
    <b v="1"/>
    <s v="10-Dec-2024"/>
    <n v="42"/>
    <x v="0"/>
    <s v="Neurology"/>
    <s v="Dr. Verma"/>
    <s v="Heart Disease"/>
    <s v="Beta Blockers"/>
    <s v="Recovered"/>
    <n v="11"/>
    <x v="108"/>
    <n v="85"/>
  </r>
  <r>
    <s v="PT0110"/>
    <x v="78"/>
    <b v="1"/>
    <s v="15-Aug-2024"/>
    <n v="73"/>
    <x v="0"/>
    <s v="ICU"/>
    <s v="Dr. Singh"/>
    <s v="Migraine"/>
    <s v="Triptans"/>
    <s v="Worsening"/>
    <n v="2"/>
    <x v="109"/>
    <n v="99"/>
  </r>
  <r>
    <s v="PT0111"/>
    <x v="42"/>
    <b v="1"/>
    <s v="23-May-2024"/>
    <n v="22"/>
    <x v="0"/>
    <s v="Pediatrics"/>
    <s v="Dr. Verma"/>
    <s v="Asthma"/>
    <s v="Bronchodilator"/>
    <s v="Worsening"/>
    <n v="8"/>
    <x v="110"/>
    <n v="92"/>
  </r>
  <r>
    <s v="PT0112"/>
    <x v="97"/>
    <b v="1"/>
    <s v="22-Nov-2024"/>
    <n v="79"/>
    <x v="0"/>
    <s v="Neurology"/>
    <s v="Dr. Sharma"/>
    <s v="Heart Disease"/>
    <s v="Beta Blockers"/>
    <s v="Worsening"/>
    <n v="6"/>
    <x v="111"/>
    <n v="94"/>
  </r>
  <r>
    <s v="PT0113"/>
    <x v="91"/>
    <b v="1"/>
    <s v="07-Jun-2024"/>
    <n v="58"/>
    <x v="1"/>
    <s v="General"/>
    <s v="Dr. Sharma"/>
    <s v="Pneumonia"/>
    <s v="Antibiotics"/>
    <s v="Recovered"/>
    <n v="11"/>
    <x v="112"/>
    <n v="93"/>
  </r>
  <r>
    <s v="PT0114"/>
    <x v="98"/>
    <b v="1"/>
    <s v="14-Jun-2024"/>
    <n v="28"/>
    <x v="0"/>
    <s v="Pediatrics"/>
    <s v="Dr. Gupta"/>
    <s v="Anemia"/>
    <s v="Iron Supplement"/>
    <s v="Stable"/>
    <n v="12"/>
    <x v="113"/>
    <n v="71"/>
  </r>
  <r>
    <s v="PT0115"/>
    <x v="68"/>
    <b v="1"/>
    <s v="08-May-2024"/>
    <n v="45"/>
    <x v="0"/>
    <s v="ICU"/>
    <s v="Dr. Sharma"/>
    <s v="Migraine"/>
    <s v="Triptans"/>
    <s v="Improving"/>
    <n v="3"/>
    <x v="114"/>
    <n v="88"/>
  </r>
  <r>
    <s v="PT0116"/>
    <x v="29"/>
    <b v="1"/>
    <s v="20-Nov-2024"/>
    <n v="73"/>
    <x v="0"/>
    <s v="ICU"/>
    <s v="Dr. Singh"/>
    <s v="Depression"/>
    <s v="SSRIs"/>
    <s v="Discharged"/>
    <n v="7"/>
    <x v="115"/>
    <n v="85"/>
  </r>
  <r>
    <s v="PT0117"/>
    <x v="99"/>
    <b v="1"/>
    <s v="12-Dec-2024"/>
    <n v="47"/>
    <x v="1"/>
    <s v="Neurology"/>
    <s v="Dr. Patel"/>
    <s v="Arthritis"/>
    <s v="NSAIDs"/>
    <s v="Worsening"/>
    <n v="5"/>
    <x v="116"/>
    <n v="95"/>
  </r>
  <r>
    <s v="PT0118"/>
    <x v="100"/>
    <b v="1"/>
    <s v="02-Nov-2024"/>
    <n v="46"/>
    <x v="1"/>
    <s v="Cardiology"/>
    <s v="Dr. Gupta"/>
    <s v="Diabetes Type 2"/>
    <s v="Metformin"/>
    <s v="Worsening"/>
    <n v="6"/>
    <x v="117"/>
    <n v="100"/>
  </r>
  <r>
    <s v="PT0119"/>
    <x v="101"/>
    <b v="1"/>
    <s v="18-Sep-2024"/>
    <n v="42"/>
    <x v="1"/>
    <s v="Neurology"/>
    <s v="Dr. Gupta"/>
    <s v="Pneumonia"/>
    <s v="Antibiotics"/>
    <s v="Discharged"/>
    <n v="14"/>
    <x v="118"/>
    <n v="82"/>
  </r>
  <r>
    <s v="PT0120"/>
    <x v="102"/>
    <b v="1"/>
    <s v="17-Dec-2024"/>
    <n v="19"/>
    <x v="0"/>
    <s v="Neurology"/>
    <s v="Dr. Singh"/>
    <s v="Arthritis"/>
    <s v="NSAIDs"/>
    <s v="Discharged"/>
    <n v="14"/>
    <x v="119"/>
    <n v="70"/>
  </r>
  <r>
    <s v="PT0121"/>
    <x v="86"/>
    <b v="1"/>
    <s v="10-May-2024"/>
    <n v="67"/>
    <x v="0"/>
    <s v="Neurology"/>
    <s v="Dr. Gupta"/>
    <s v="Arthritis"/>
    <s v="NSAIDs"/>
    <s v="Improving"/>
    <n v="13"/>
    <x v="120"/>
    <n v="81"/>
  </r>
  <r>
    <s v="PT0122"/>
    <x v="103"/>
    <b v="1"/>
    <s v="19-Nov-2024"/>
    <n v="58"/>
    <x v="0"/>
    <s v="Neurology"/>
    <s v="Dr. Gupta"/>
    <s v="Asthma"/>
    <s v="Bronchodilator"/>
    <s v="Worsening"/>
    <n v="2"/>
    <x v="121"/>
    <n v="79"/>
  </r>
  <r>
    <s v="PT0123"/>
    <x v="104"/>
    <b v="1"/>
    <s v="21-Jun-2024"/>
    <n v="23"/>
    <x v="0"/>
    <s v="Neurology"/>
    <s v="Dr. Gupta"/>
    <s v="Asthma"/>
    <s v="Bronchodilator"/>
    <s v="Improving"/>
    <n v="5"/>
    <x v="122"/>
    <n v="75"/>
  </r>
  <r>
    <s v="PT0124"/>
    <x v="105"/>
    <b v="1"/>
    <s v="30-Mar-2024"/>
    <n v="50"/>
    <x v="1"/>
    <s v="Pediatrics"/>
    <s v="Dr. Sharma"/>
    <s v="Thyroid Disorder"/>
    <s v="Levothyroxine"/>
    <s v="Worsening"/>
    <n v="5"/>
    <x v="123"/>
    <n v="96"/>
  </r>
  <r>
    <s v="PT0125"/>
    <x v="106"/>
    <b v="1"/>
    <s v="15-Mar-2024"/>
    <n v="79"/>
    <x v="1"/>
    <s v="General"/>
    <s v="Dr. Singh"/>
    <s v="Anemia"/>
    <s v="Iron Supplement"/>
    <s v="Worsening"/>
    <n v="2"/>
    <x v="124"/>
    <n v="77"/>
  </r>
  <r>
    <s v="PT0126"/>
    <x v="107"/>
    <b v="1"/>
    <s v="13-Mar-2024"/>
    <n v="34"/>
    <x v="1"/>
    <s v="Pediatrics"/>
    <s v="Dr. Sharma"/>
    <s v="Hypertension"/>
    <s v="ACE Inhibitors"/>
    <s v="Stable"/>
    <n v="9"/>
    <x v="125"/>
    <n v="91"/>
  </r>
  <r>
    <s v="PT0127"/>
    <x v="29"/>
    <b v="1"/>
    <s v="14-Nov-2024"/>
    <n v="48"/>
    <x v="0"/>
    <s v="General"/>
    <s v="Dr. Singh"/>
    <s v="Pneumonia"/>
    <s v="Antibiotics"/>
    <s v="Stable"/>
    <n v="1"/>
    <x v="126"/>
    <n v="87"/>
  </r>
  <r>
    <s v="PT0128"/>
    <x v="43"/>
    <b v="1"/>
    <s v="07-Mar-2024"/>
    <n v="59"/>
    <x v="1"/>
    <s v="Cardiology"/>
    <s v="Dr. Sharma"/>
    <s v="Arthritis"/>
    <s v="NSAIDs"/>
    <s v="Recovered"/>
    <n v="7"/>
    <x v="127"/>
    <n v="100"/>
  </r>
  <r>
    <s v="PT0129"/>
    <x v="108"/>
    <b v="1"/>
    <s v="19-Mar-2024"/>
    <n v="33"/>
    <x v="1"/>
    <s v="Neurology"/>
    <s v="Dr. Patel"/>
    <s v="Diabetes Type 2"/>
    <s v="Metformin"/>
    <s v="Discharged"/>
    <n v="9"/>
    <x v="128"/>
    <n v="81"/>
  </r>
  <r>
    <s v="PT0130"/>
    <x v="16"/>
    <b v="1"/>
    <s v="09-Sep-2024"/>
    <n v="59"/>
    <x v="0"/>
    <s v="Pediatrics"/>
    <s v="Dr. Patel"/>
    <s v="Heart Disease"/>
    <s v="Beta Blockers"/>
    <s v="Stable"/>
    <n v="2"/>
    <x v="129"/>
    <n v="100"/>
  </r>
  <r>
    <s v="PT0131"/>
    <x v="5"/>
    <b v="1"/>
    <s v="08-Jul-2024"/>
    <n v="46"/>
    <x v="1"/>
    <s v="General"/>
    <s v="Dr. Singh"/>
    <s v="Anemia"/>
    <s v="Iron Supplement"/>
    <s v="Stable"/>
    <n v="4"/>
    <x v="130"/>
    <n v="91"/>
  </r>
  <r>
    <s v="PT0132"/>
    <x v="60"/>
    <b v="1"/>
    <s v="22-Aug-2024"/>
    <n v="30"/>
    <x v="0"/>
    <s v="General"/>
    <s v="Dr. Gupta"/>
    <s v="Arthritis"/>
    <s v="NSAIDs"/>
    <s v="Discharged"/>
    <n v="2"/>
    <x v="131"/>
    <n v="76"/>
  </r>
  <r>
    <s v="PT0133"/>
    <x v="109"/>
    <b v="1"/>
    <s v="29-Oct-2024"/>
    <n v="26"/>
    <x v="0"/>
    <s v="Neurology"/>
    <s v="Dr. Patel"/>
    <s v="Pneumonia"/>
    <s v="Antibiotics"/>
    <s v="Discharged"/>
    <n v="13"/>
    <x v="132"/>
    <n v="96"/>
  </r>
  <r>
    <s v="PT0134"/>
    <x v="110"/>
    <b v="1"/>
    <s v="29-Mar-2024"/>
    <n v="39"/>
    <x v="1"/>
    <s v="ICU"/>
    <s v="Dr. Patel"/>
    <s v="Pneumonia"/>
    <s v="Antibiotics"/>
    <s v="Recovered"/>
    <n v="13"/>
    <x v="133"/>
    <n v="89"/>
  </r>
  <r>
    <s v="PT0135"/>
    <x v="87"/>
    <b v="1"/>
    <s v="12-Apr-2024"/>
    <n v="34"/>
    <x v="0"/>
    <s v="General"/>
    <s v="Dr. Gupta"/>
    <s v="Thyroid Disorder"/>
    <s v="Levothyroxine"/>
    <s v="Recovered"/>
    <n v="13"/>
    <x v="134"/>
    <n v="97"/>
  </r>
  <r>
    <s v="PT0136"/>
    <x v="111"/>
    <b v="1"/>
    <s v="15-Jan-2024"/>
    <n v="55"/>
    <x v="1"/>
    <s v="Neurology"/>
    <s v="Dr. Sharma"/>
    <s v="Pneumonia"/>
    <s v="Antibiotics"/>
    <s v="Improving"/>
    <n v="6"/>
    <x v="135"/>
    <n v="71"/>
  </r>
  <r>
    <s v="PT0137"/>
    <x v="5"/>
    <b v="1"/>
    <s v="12-Jul-2024"/>
    <n v="48"/>
    <x v="0"/>
    <s v="Neurology"/>
    <s v="Dr. Sharma"/>
    <s v="Diabetes Type 2"/>
    <s v="Metformin"/>
    <s v="Worsening"/>
    <n v="8"/>
    <x v="136"/>
    <n v="73"/>
  </r>
  <r>
    <s v="PT0138"/>
    <x v="112"/>
    <b v="1"/>
    <s v="03-Dec-2024"/>
    <n v="37"/>
    <x v="1"/>
    <s v="Cardiology"/>
    <s v="Dr. Sharma"/>
    <s v="Thyroid Disorder"/>
    <s v="Levothyroxine"/>
    <s v="Worsening"/>
    <n v="8"/>
    <x v="137"/>
    <n v="71"/>
  </r>
  <r>
    <s v="PT0139"/>
    <x v="79"/>
    <b v="1"/>
    <s v="15-Feb-2024"/>
    <n v="63"/>
    <x v="0"/>
    <s v="General"/>
    <s v="Dr. Patel"/>
    <s v="Anemia"/>
    <s v="Iron Supplement"/>
    <s v="Discharged"/>
    <n v="8"/>
    <x v="138"/>
    <n v="80"/>
  </r>
  <r>
    <s v="PT0140"/>
    <x v="113"/>
    <b v="1"/>
    <s v="06-Nov-2024"/>
    <n v="57"/>
    <x v="1"/>
    <s v="Cardiology"/>
    <s v="Dr. Verma"/>
    <s v="Arthritis"/>
    <s v="NSAIDs"/>
    <s v="Worsening"/>
    <n v="11"/>
    <x v="139"/>
    <n v="80"/>
  </r>
  <r>
    <s v="PT0141"/>
    <x v="7"/>
    <b v="1"/>
    <s v="27-Dec-2024"/>
    <n v="45"/>
    <x v="0"/>
    <s v="Cardiology"/>
    <s v="Dr. Singh"/>
    <s v="Depression"/>
    <s v="SSRIs"/>
    <s v="Discharged"/>
    <n v="2"/>
    <x v="140"/>
    <n v="90"/>
  </r>
  <r>
    <s v="PT0142"/>
    <x v="60"/>
    <b v="1"/>
    <s v="26-Aug-2024"/>
    <n v="44"/>
    <x v="1"/>
    <s v="Cardiology"/>
    <s v="Dr. Gupta"/>
    <s v="Pneumonia"/>
    <s v="Antibiotics"/>
    <s v="Recovered"/>
    <n v="6"/>
    <x v="141"/>
    <n v="93"/>
  </r>
  <r>
    <s v="PT0143"/>
    <x v="114"/>
    <b v="1"/>
    <s v="20-Dec-2024"/>
    <n v="41"/>
    <x v="0"/>
    <s v="General"/>
    <s v="Dr. Singh"/>
    <s v="Arthritis"/>
    <s v="NSAIDs"/>
    <s v="Recovered"/>
    <n v="3"/>
    <x v="142"/>
    <n v="72"/>
  </r>
  <r>
    <s v="PT0144"/>
    <x v="115"/>
    <b v="1"/>
    <s v="21-Jul-2024"/>
    <n v="65"/>
    <x v="1"/>
    <s v="General"/>
    <s v="Dr. Singh"/>
    <s v="Diabetes Type 2"/>
    <s v="Metformin"/>
    <s v="Recovered"/>
    <n v="12"/>
    <x v="143"/>
    <n v="87"/>
  </r>
  <r>
    <s v="PT0145"/>
    <x v="116"/>
    <b v="1"/>
    <s v="15-Aug-2024"/>
    <n v="73"/>
    <x v="1"/>
    <s v="Neurology"/>
    <s v="Dr. Gupta"/>
    <s v="Migraine"/>
    <s v="Triptans"/>
    <s v="Recovered"/>
    <n v="11"/>
    <x v="144"/>
    <n v="93"/>
  </r>
  <r>
    <s v="PT0146"/>
    <x v="15"/>
    <b v="1"/>
    <s v="26-Sep-2024"/>
    <n v="24"/>
    <x v="0"/>
    <s v="General"/>
    <s v="Dr. Gupta"/>
    <s v="Migraine"/>
    <s v="Triptans"/>
    <s v="Worsening"/>
    <n v="10"/>
    <x v="145"/>
    <n v="91"/>
  </r>
  <r>
    <s v="PT0147"/>
    <x v="2"/>
    <b v="1"/>
    <s v="24-May-2024"/>
    <n v="41"/>
    <x v="0"/>
    <s v="Neurology"/>
    <s v="Dr. Gupta"/>
    <s v="Thyroid Disorder"/>
    <s v="Levothyroxine"/>
    <s v="Worsening"/>
    <n v="2"/>
    <x v="146"/>
    <n v="95"/>
  </r>
  <r>
    <s v="PT0148"/>
    <x v="7"/>
    <b v="1"/>
    <s v="30-Dec-2024"/>
    <n v="29"/>
    <x v="1"/>
    <s v="General"/>
    <s v="Dr. Patel"/>
    <s v="Hypertension"/>
    <s v="ACE Inhibitors"/>
    <s v="Stable"/>
    <n v="5"/>
    <x v="147"/>
    <n v="99"/>
  </r>
  <r>
    <s v="PT0149"/>
    <x v="117"/>
    <b v="1"/>
    <s v="04-Aug-2024"/>
    <n v="54"/>
    <x v="0"/>
    <s v="Neurology"/>
    <s v="Dr. Patel"/>
    <s v="Asthma"/>
    <s v="Bronchodilator"/>
    <s v="Recovered"/>
    <n v="11"/>
    <x v="148"/>
    <n v="93"/>
  </r>
  <r>
    <s v="PT0150"/>
    <x v="70"/>
    <b v="1"/>
    <s v="01-Jul-2024"/>
    <n v="44"/>
    <x v="0"/>
    <s v="General"/>
    <s v="Dr. Patel"/>
    <s v="Heart Disease"/>
    <s v="Beta Blockers"/>
    <s v="Stable"/>
    <n v="8"/>
    <x v="149"/>
    <n v="79"/>
  </r>
  <r>
    <s v="PT0151"/>
    <x v="118"/>
    <b v="1"/>
    <s v="05-Feb-2024"/>
    <n v="66"/>
    <x v="1"/>
    <s v="Cardiology"/>
    <s v="Dr. Verma"/>
    <s v="Asthma"/>
    <s v="Bronchodilator"/>
    <s v="Worsening"/>
    <n v="10"/>
    <x v="150"/>
    <n v="78"/>
  </r>
  <r>
    <s v="PT0152"/>
    <x v="119"/>
    <b v="1"/>
    <s v="25-Apr-2024"/>
    <n v="44"/>
    <x v="1"/>
    <s v="General"/>
    <s v="Dr. Gupta"/>
    <s v="Anemia"/>
    <s v="Iron Supplement"/>
    <s v="Stable"/>
    <n v="5"/>
    <x v="151"/>
    <n v="73"/>
  </r>
  <r>
    <s v="PT0153"/>
    <x v="99"/>
    <b v="1"/>
    <s v="16-Dec-2024"/>
    <n v="49"/>
    <x v="0"/>
    <s v="General"/>
    <s v="Dr. Patel"/>
    <s v="Depression"/>
    <s v="SSRIs"/>
    <s v="Worsening"/>
    <n v="9"/>
    <x v="152"/>
    <n v="77"/>
  </r>
  <r>
    <s v="PT0154"/>
    <x v="120"/>
    <b v="1"/>
    <s v="15-Mar-2024"/>
    <n v="78"/>
    <x v="0"/>
    <s v="General"/>
    <s v="Dr. Singh"/>
    <s v="Arthritis"/>
    <s v="NSAIDs"/>
    <s v="Stable"/>
    <n v="4"/>
    <x v="153"/>
    <n v="79"/>
  </r>
  <r>
    <s v="PT0155"/>
    <x v="69"/>
    <b v="1"/>
    <s v="16-Jul-2024"/>
    <n v="29"/>
    <x v="1"/>
    <s v="General"/>
    <s v="Dr. Singh"/>
    <s v="Heart Disease"/>
    <s v="Beta Blockers"/>
    <s v="Discharged"/>
    <n v="3"/>
    <x v="154"/>
    <n v="77"/>
  </r>
  <r>
    <s v="PT0156"/>
    <x v="4"/>
    <b v="1"/>
    <s v="24-Aug-2024"/>
    <n v="45"/>
    <x v="1"/>
    <s v="Neurology"/>
    <s v="Dr. Singh"/>
    <s v="Hypertension"/>
    <s v="ACE Inhibitors"/>
    <s v="Stable"/>
    <n v="1"/>
    <x v="155"/>
    <n v="97"/>
  </r>
  <r>
    <s v="PT0157"/>
    <x v="121"/>
    <b v="1"/>
    <s v="28-Jul-2024"/>
    <n v="36"/>
    <x v="1"/>
    <s v="Pediatrics"/>
    <s v="Dr. Sharma"/>
    <s v="Heart Disease"/>
    <s v="Beta Blockers"/>
    <s v="Improving"/>
    <n v="2"/>
    <x v="156"/>
    <n v="80"/>
  </r>
  <r>
    <s v="PT0158"/>
    <x v="50"/>
    <b v="1"/>
    <s v="06-May-2024"/>
    <n v="72"/>
    <x v="0"/>
    <s v="Cardiology"/>
    <s v="Dr. Gupta"/>
    <s v="Heart Disease"/>
    <s v="Beta Blockers"/>
    <s v="Discharged"/>
    <n v="2"/>
    <x v="157"/>
    <n v="82"/>
  </r>
  <r>
    <s v="PT0159"/>
    <x v="122"/>
    <b v="1"/>
    <s v="02-Apr-2024"/>
    <n v="32"/>
    <x v="0"/>
    <s v="Pediatrics"/>
    <s v="Dr. Gupta"/>
    <s v="Migraine"/>
    <s v="Triptans"/>
    <s v="Recovered"/>
    <n v="6"/>
    <x v="158"/>
    <n v="90"/>
  </r>
  <r>
    <s v="PT0160"/>
    <x v="123"/>
    <b v="1"/>
    <s v="17-Mar-2024"/>
    <n v="33"/>
    <x v="0"/>
    <s v="General"/>
    <s v="Dr. Patel"/>
    <s v="Asthma"/>
    <s v="Bronchodilator"/>
    <s v="Discharged"/>
    <n v="2"/>
    <x v="159"/>
    <n v="75"/>
  </r>
  <r>
    <s v="PT0161"/>
    <x v="31"/>
    <b v="1"/>
    <s v="28-Oct-2024"/>
    <n v="47"/>
    <x v="1"/>
    <s v="Pediatrics"/>
    <s v="Dr. Patel"/>
    <s v="Anemia"/>
    <s v="Iron Supplement"/>
    <s v="Discharged"/>
    <n v="13"/>
    <x v="160"/>
    <n v="84"/>
  </r>
  <r>
    <s v="PT0162"/>
    <x v="24"/>
    <b v="1"/>
    <s v="22-Aug-2024"/>
    <n v="22"/>
    <x v="0"/>
    <s v="Pediatrics"/>
    <s v="Dr. Verma"/>
    <s v="Anemia"/>
    <s v="Iron Supplement"/>
    <s v="Stable"/>
    <n v="8"/>
    <x v="161"/>
    <n v="95"/>
  </r>
  <r>
    <s v="PT0163"/>
    <x v="19"/>
    <b v="1"/>
    <s v="27-Aug-2024"/>
    <n v="37"/>
    <x v="0"/>
    <s v="General"/>
    <s v="Dr. Verma"/>
    <s v="Diabetes Type 2"/>
    <s v="Metformin"/>
    <s v="Stable"/>
    <n v="8"/>
    <x v="162"/>
    <n v="81"/>
  </r>
  <r>
    <s v="PT0164"/>
    <x v="124"/>
    <b v="1"/>
    <s v="31-Aug-2024"/>
    <n v="50"/>
    <x v="1"/>
    <s v="Neurology"/>
    <s v="Dr. Patel"/>
    <s v="Depression"/>
    <s v="SSRIs"/>
    <s v="Recovered"/>
    <n v="7"/>
    <x v="163"/>
    <n v="100"/>
  </r>
  <r>
    <s v="PT0165"/>
    <x v="125"/>
    <b v="1"/>
    <s v="21-Sep-2024"/>
    <n v="56"/>
    <x v="0"/>
    <s v="Pediatrics"/>
    <s v="Dr. Sharma"/>
    <s v="Migraine"/>
    <s v="Triptans"/>
    <s v="Worsening"/>
    <n v="8"/>
    <x v="164"/>
    <n v="71"/>
  </r>
  <r>
    <s v="PT0166"/>
    <x v="126"/>
    <b v="1"/>
    <s v="24-Jan-2024"/>
    <n v="59"/>
    <x v="0"/>
    <s v="Pediatrics"/>
    <s v="Dr. Gupta"/>
    <s v="Thyroid Disorder"/>
    <s v="Levothyroxine"/>
    <s v="Worsening"/>
    <n v="3"/>
    <x v="165"/>
    <n v="84"/>
  </r>
  <r>
    <s v="PT0167"/>
    <x v="127"/>
    <b v="1"/>
    <s v="29-Jun-2024"/>
    <n v="42"/>
    <x v="0"/>
    <s v="Pediatrics"/>
    <s v="Dr. Sharma"/>
    <s v="Arthritis"/>
    <s v="NSAIDs"/>
    <s v="Stable"/>
    <n v="7"/>
    <x v="166"/>
    <n v="71"/>
  </r>
  <r>
    <s v="PT0168"/>
    <x v="128"/>
    <b v="1"/>
    <s v="01-Jun-2024"/>
    <n v="61"/>
    <x v="0"/>
    <s v="Pediatrics"/>
    <s v="Dr. Sharma"/>
    <s v="Thyroid Disorder"/>
    <s v="Levothyroxine"/>
    <s v="Discharged"/>
    <n v="7"/>
    <x v="167"/>
    <n v="97"/>
  </r>
  <r>
    <s v="PT0169"/>
    <x v="129"/>
    <b v="1"/>
    <s v="01-Jul-2024"/>
    <n v="60"/>
    <x v="0"/>
    <s v="Neurology"/>
    <s v="Dr. Sharma"/>
    <s v="Depression"/>
    <s v="SSRIs"/>
    <s v="Worsening"/>
    <n v="3"/>
    <x v="168"/>
    <n v="90"/>
  </r>
  <r>
    <s v="PT0170"/>
    <x v="112"/>
    <b v="1"/>
    <s v="02-Dec-2024"/>
    <n v="53"/>
    <x v="0"/>
    <s v="Cardiology"/>
    <s v="Dr. Verma"/>
    <s v="Arthritis"/>
    <s v="NSAIDs"/>
    <s v="Improving"/>
    <n v="7"/>
    <x v="169"/>
    <n v="96"/>
  </r>
  <r>
    <s v="PT0171"/>
    <x v="130"/>
    <b v="1"/>
    <s v="13-Jun-2024"/>
    <n v="19"/>
    <x v="1"/>
    <s v="ICU"/>
    <s v="Dr. Patel"/>
    <s v="Migraine"/>
    <s v="Triptans"/>
    <s v="Stable"/>
    <n v="6"/>
    <x v="170"/>
    <n v="76"/>
  </r>
  <r>
    <s v="PT0172"/>
    <x v="26"/>
    <b v="1"/>
    <s v="02-Jun-2024"/>
    <n v="27"/>
    <x v="0"/>
    <s v="Pediatrics"/>
    <s v="Dr. Verma"/>
    <s v="Asthma"/>
    <s v="Bronchodilator"/>
    <s v="Discharged"/>
    <n v="2"/>
    <x v="171"/>
    <n v="73"/>
  </r>
  <r>
    <s v="PT0173"/>
    <x v="131"/>
    <b v="1"/>
    <s v="26-Mar-2024"/>
    <n v="56"/>
    <x v="0"/>
    <s v="Cardiology"/>
    <s v="Dr. Sharma"/>
    <s v="Asthma"/>
    <s v="Bronchodilator"/>
    <s v="Discharged"/>
    <n v="7"/>
    <x v="172"/>
    <n v="96"/>
  </r>
  <r>
    <s v="PT0174"/>
    <x v="20"/>
    <b v="1"/>
    <s v="12-May-2024"/>
    <n v="41"/>
    <x v="1"/>
    <s v="ICU"/>
    <s v="Dr. Verma"/>
    <s v="Heart Disease"/>
    <s v="Beta Blockers"/>
    <s v="Stable"/>
    <n v="11"/>
    <x v="173"/>
    <n v="89"/>
  </r>
  <r>
    <s v="PT0175"/>
    <x v="132"/>
    <b v="1"/>
    <s v="10-Sep-2024"/>
    <n v="37"/>
    <x v="1"/>
    <s v="Cardiology"/>
    <s v="Dr. Gupta"/>
    <s v="Pneumonia"/>
    <s v="Antibiotics"/>
    <s v="Stable"/>
    <n v="13"/>
    <x v="174"/>
    <n v="76"/>
  </r>
  <r>
    <s v="PT0176"/>
    <x v="133"/>
    <b v="1"/>
    <s v="11-Aug-2024"/>
    <n v="50"/>
    <x v="0"/>
    <s v="Pediatrics"/>
    <s v="Dr. Sharma"/>
    <s v="Heart Disease"/>
    <s v="Beta Blockers"/>
    <s v="Improving"/>
    <n v="9"/>
    <x v="175"/>
    <n v="96"/>
  </r>
  <r>
    <s v="PT0177"/>
    <x v="34"/>
    <b v="1"/>
    <s v="16-Oct-2024"/>
    <n v="73"/>
    <x v="0"/>
    <s v="Pediatrics"/>
    <s v="Dr. Sharma"/>
    <s v="Anemia"/>
    <s v="Iron Supplement"/>
    <s v="Discharged"/>
    <n v="6"/>
    <x v="176"/>
    <n v="92"/>
  </r>
  <r>
    <s v="PT0178"/>
    <x v="134"/>
    <b v="1"/>
    <s v="27-Sep-2024"/>
    <n v="35"/>
    <x v="0"/>
    <s v="Cardiology"/>
    <s v="Dr. Gupta"/>
    <s v="Asthma"/>
    <s v="Bronchodilator"/>
    <s v="Recovered"/>
    <n v="8"/>
    <x v="177"/>
    <n v="83"/>
  </r>
  <r>
    <s v="PT0179"/>
    <x v="30"/>
    <b v="1"/>
    <s v="22-Jul-2024"/>
    <n v="44"/>
    <x v="0"/>
    <s v="Pediatrics"/>
    <s v="Dr. Patel"/>
    <s v="Hypertension"/>
    <s v="ACE Inhibitors"/>
    <s v="Worsening"/>
    <n v="1"/>
    <x v="178"/>
    <n v="77"/>
  </r>
  <r>
    <s v="PT0180"/>
    <x v="135"/>
    <b v="1"/>
    <s v="30-Nov-2024"/>
    <n v="38"/>
    <x v="0"/>
    <s v="Pediatrics"/>
    <s v="Dr. Singh"/>
    <s v="Hypertension"/>
    <s v="ACE Inhibitors"/>
    <s v="Improving"/>
    <n v="2"/>
    <x v="179"/>
    <n v="74"/>
  </r>
  <r>
    <s v="PT0181"/>
    <x v="132"/>
    <b v="1"/>
    <s v="09-Sep-2024"/>
    <n v="66"/>
    <x v="0"/>
    <s v="Pediatrics"/>
    <s v="Dr. Patel"/>
    <s v="Asthma"/>
    <s v="Bronchodilator"/>
    <s v="Recovered"/>
    <n v="12"/>
    <x v="180"/>
    <n v="70"/>
  </r>
  <r>
    <s v="PT0183"/>
    <x v="136"/>
    <b v="1"/>
    <s v="30-Nov-2024"/>
    <n v="33"/>
    <x v="0"/>
    <s v="Cardiology"/>
    <s v="Dr. Verma"/>
    <s v="Hypertension"/>
    <s v="ACE Inhibitors"/>
    <s v="Recovered"/>
    <n v="7"/>
    <x v="181"/>
    <n v="84"/>
  </r>
  <r>
    <s v="PT0184"/>
    <x v="137"/>
    <b v="1"/>
    <s v="01-Oct-2024"/>
    <n v="19"/>
    <x v="1"/>
    <s v="Cardiology"/>
    <s v="Dr. Sharma"/>
    <s v="Thyroid Disorder"/>
    <s v="Levothyroxine"/>
    <s v="Improving"/>
    <n v="11"/>
    <x v="182"/>
    <n v="92"/>
  </r>
  <r>
    <s v="PT0185"/>
    <x v="138"/>
    <b v="1"/>
    <s v="23-Oct-2024"/>
    <n v="40"/>
    <x v="1"/>
    <s v="General"/>
    <s v="Dr. Verma"/>
    <s v="Depression"/>
    <s v="SSRIs"/>
    <s v="Recovered"/>
    <n v="4"/>
    <x v="183"/>
    <n v="91"/>
  </r>
  <r>
    <s v="PT0186"/>
    <x v="15"/>
    <b v="1"/>
    <s v="29-Sep-2024"/>
    <n v="50"/>
    <x v="0"/>
    <s v="Cardiology"/>
    <s v="Dr. Gupta"/>
    <s v="Thyroid Disorder"/>
    <s v="Levothyroxine"/>
    <s v="Worsening"/>
    <n v="13"/>
    <x v="184"/>
    <n v="82"/>
  </r>
  <r>
    <s v="PT0187"/>
    <x v="139"/>
    <b v="1"/>
    <s v="02-Jul-2024"/>
    <n v="65"/>
    <x v="0"/>
    <s v="Neurology"/>
    <s v="Dr. Gupta"/>
    <s v="Arthritis"/>
    <s v="NSAIDs"/>
    <s v="Improving"/>
    <n v="1"/>
    <x v="185"/>
    <n v="81"/>
  </r>
  <r>
    <s v="PT0188"/>
    <x v="140"/>
    <b v="1"/>
    <s v="12-Oct-2024"/>
    <n v="20"/>
    <x v="1"/>
    <s v="Cardiology"/>
    <s v="Dr. Patel"/>
    <s v="Asthma"/>
    <s v="Bronchodilator"/>
    <s v="Improving"/>
    <n v="6"/>
    <x v="186"/>
    <n v="90"/>
  </r>
  <r>
    <s v="PT0189"/>
    <x v="10"/>
    <b v="1"/>
    <s v="03-Sep-2024"/>
    <n v="22"/>
    <x v="0"/>
    <s v="General"/>
    <s v="Dr. Gupta"/>
    <s v="Asthma"/>
    <s v="Bronchodilator"/>
    <s v="Recovered"/>
    <n v="12"/>
    <x v="187"/>
    <n v="76"/>
  </r>
  <r>
    <s v="PT0190"/>
    <x v="141"/>
    <b v="1"/>
    <s v="12-Oct-2024"/>
    <n v="50"/>
    <x v="1"/>
    <s v="Pediatrics"/>
    <s v="Dr. Sharma"/>
    <s v="Arthritis"/>
    <s v="NSAIDs"/>
    <s v="Improving"/>
    <n v="7"/>
    <x v="188"/>
    <n v="71"/>
  </r>
  <r>
    <s v="PT0191"/>
    <x v="142"/>
    <b v="1"/>
    <s v="09-Jul-2024"/>
    <n v="35"/>
    <x v="1"/>
    <s v="Pediatrics"/>
    <s v="Dr. Patel"/>
    <s v="Migraine"/>
    <s v="Triptans"/>
    <s v="Worsening"/>
    <n v="2"/>
    <x v="189"/>
    <n v="82"/>
  </r>
  <r>
    <s v="PT0192"/>
    <x v="142"/>
    <b v="1"/>
    <s v="15-Jul-2024"/>
    <n v="62"/>
    <x v="0"/>
    <s v="Cardiology"/>
    <s v="Dr. Sharma"/>
    <s v="Anemia"/>
    <s v="Iron Supplement"/>
    <s v="Stable"/>
    <n v="8"/>
    <x v="190"/>
    <n v="86"/>
  </r>
  <r>
    <s v="PT0193"/>
    <x v="143"/>
    <b v="1"/>
    <s v="16-Apr-2024"/>
    <n v="56"/>
    <x v="0"/>
    <s v="Pediatrics"/>
    <s v="Dr. Gupta"/>
    <s v="Heart Disease"/>
    <s v="Beta Blockers"/>
    <s v="Recovered"/>
    <n v="14"/>
    <x v="191"/>
    <n v="80"/>
  </r>
  <r>
    <s v="PT0194"/>
    <x v="144"/>
    <b v="1"/>
    <s v="16-Aug-2024"/>
    <n v="46"/>
    <x v="1"/>
    <s v="General"/>
    <s v="Dr. Gupta"/>
    <s v="Arthritis"/>
    <s v="NSAIDs"/>
    <s v="Stable"/>
    <n v="10"/>
    <x v="192"/>
    <n v="84"/>
  </r>
  <r>
    <s v="PT0195"/>
    <x v="136"/>
    <b v="1"/>
    <s v="28-Nov-2024"/>
    <n v="45"/>
    <x v="0"/>
    <s v="Cardiology"/>
    <s v="Dr. Gupta"/>
    <s v="Depression"/>
    <s v="SSRIs"/>
    <s v="Recovered"/>
    <n v="5"/>
    <x v="193"/>
    <n v="100"/>
  </r>
  <r>
    <s v="PT0196"/>
    <x v="145"/>
    <b v="1"/>
    <s v="25-Dec-2024"/>
    <n v="69"/>
    <x v="1"/>
    <s v="General"/>
    <s v="Dr. Patel"/>
    <s v="Thyroid Disorder"/>
    <s v="Levothyroxine"/>
    <s v="Improving"/>
    <n v="12"/>
    <x v="194"/>
    <n v="70"/>
  </r>
  <r>
    <s v="PT0197"/>
    <x v="146"/>
    <b v="1"/>
    <s v="09-Dec-2024"/>
    <n v="33"/>
    <x v="0"/>
    <s v="Neurology"/>
    <s v="Dr. Patel"/>
    <s v="Diabetes Type 2"/>
    <s v="Metformin"/>
    <s v="Discharged"/>
    <n v="13"/>
    <x v="195"/>
    <n v="82"/>
  </r>
  <r>
    <s v="PT0198"/>
    <x v="115"/>
    <b v="1"/>
    <s v="15-Jul-2024"/>
    <n v="78"/>
    <x v="0"/>
    <s v="Neurology"/>
    <s v="Dr. Gupta"/>
    <s v="Anemia"/>
    <s v="Iron Supplement"/>
    <s v="Discharged"/>
    <n v="6"/>
    <x v="196"/>
    <n v="72"/>
  </r>
  <r>
    <s v="PT0199"/>
    <x v="2"/>
    <b v="1"/>
    <s v="02-Jun-2024"/>
    <n v="38"/>
    <x v="0"/>
    <s v="Cardiology"/>
    <s v="Dr. Verma"/>
    <s v="Heart Disease"/>
    <s v="Beta Blockers"/>
    <s v="Recovered"/>
    <n v="11"/>
    <x v="197"/>
    <n v="73"/>
  </r>
  <r>
    <s v="PT0200"/>
    <x v="80"/>
    <b v="1"/>
    <s v="10-Mar-2024"/>
    <n v="76"/>
    <x v="0"/>
    <s v="Neurology"/>
    <s v="Dr. Gupta"/>
    <s v="Heart Disease"/>
    <s v="Beta Blockers"/>
    <s v="Worsening"/>
    <n v="9"/>
    <x v="198"/>
    <n v="7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A46D17-6981-4DBB-B0AD-4B846AFE4111}" name="Monthly Satisfaction Report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J3:M17" firstHeaderRow="1" firstDataRow="2" firstDataCol="1"/>
  <pivotFields count="16">
    <pivotField dataField="1" showAll="0"/>
    <pivotField numFmtId="170" showAll="0">
      <items count="148">
        <item x="46"/>
        <item x="80"/>
        <item x="76"/>
        <item x="20"/>
        <item x="81"/>
        <item x="139"/>
        <item x="39"/>
        <item x="126"/>
        <item x="66"/>
        <item x="118"/>
        <item x="22"/>
        <item x="143"/>
        <item x="96"/>
        <item x="98"/>
        <item x="133"/>
        <item x="44"/>
        <item x="6"/>
        <item x="40"/>
        <item x="43"/>
        <item x="61"/>
        <item x="102"/>
        <item x="106"/>
        <item x="123"/>
        <item x="110"/>
        <item x="83"/>
        <item x="131"/>
        <item x="12"/>
        <item x="64"/>
        <item x="105"/>
        <item x="122"/>
        <item x="87"/>
        <item x="56"/>
        <item x="28"/>
        <item x="107"/>
        <item x="50"/>
        <item x="5"/>
        <item x="116"/>
        <item x="101"/>
        <item x="119"/>
        <item x="1"/>
        <item x="11"/>
        <item x="72"/>
        <item x="41"/>
        <item x="86"/>
        <item x="54"/>
        <item x="48"/>
        <item x="32"/>
        <item x="68"/>
        <item x="141"/>
        <item x="45"/>
        <item x="42"/>
        <item x="8"/>
        <item x="0"/>
        <item x="2"/>
        <item x="128"/>
        <item x="91"/>
        <item x="26"/>
        <item x="37"/>
        <item x="144"/>
        <item x="57"/>
        <item x="140"/>
        <item x="104"/>
        <item x="89"/>
        <item x="3"/>
        <item x="127"/>
        <item x="70"/>
        <item x="129"/>
        <item x="79"/>
        <item x="35"/>
        <item x="23"/>
        <item x="130"/>
        <item x="142"/>
        <item x="16"/>
        <item x="99"/>
        <item x="69"/>
        <item x="25"/>
        <item x="30"/>
        <item x="117"/>
        <item x="121"/>
        <item x="71"/>
        <item x="55"/>
        <item x="36"/>
        <item x="74"/>
        <item x="13"/>
        <item x="92"/>
        <item x="88"/>
        <item x="73"/>
        <item x="49"/>
        <item x="78"/>
        <item x="24"/>
        <item x="95"/>
        <item x="82"/>
        <item x="19"/>
        <item x="60"/>
        <item x="10"/>
        <item x="4"/>
        <item x="124"/>
        <item x="63"/>
        <item x="58"/>
        <item x="132"/>
        <item x="21"/>
        <item x="52"/>
        <item x="111"/>
        <item x="53"/>
        <item x="90"/>
        <item x="115"/>
        <item x="85"/>
        <item x="94"/>
        <item x="125"/>
        <item x="27"/>
        <item x="15"/>
        <item x="47"/>
        <item x="134"/>
        <item x="137"/>
        <item x="51"/>
        <item x="18"/>
        <item x="17"/>
        <item x="108"/>
        <item x="9"/>
        <item x="14"/>
        <item x="34"/>
        <item x="38"/>
        <item x="31"/>
        <item x="109"/>
        <item x="84"/>
        <item x="138"/>
        <item x="113"/>
        <item x="100"/>
        <item x="75"/>
        <item x="120"/>
        <item x="65"/>
        <item x="29"/>
        <item x="97"/>
        <item x="103"/>
        <item x="136"/>
        <item x="112"/>
        <item x="146"/>
        <item x="93"/>
        <item x="135"/>
        <item x="67"/>
        <item x="33"/>
        <item x="59"/>
        <item x="62"/>
        <item x="145"/>
        <item x="114"/>
        <item x="77"/>
        <item x="7"/>
        <item t="default"/>
      </items>
    </pivotField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3">
    <i>
      <x/>
    </i>
    <i>
      <x v="1"/>
    </i>
    <i t="grand">
      <x/>
    </i>
  </colItems>
  <dataFields count="1">
    <dataField name="Count of Patient ID" fld="0" subtotal="count" baseField="0" baseItem="0"/>
  </dataFields>
  <chartFormats count="6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7A60BA-25D4-4298-9A4D-9A3C08F2B403}" name="Monthly LOS Report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G3:H16" firstHeaderRow="1" firstDataRow="1" firstDataCol="1"/>
  <pivotFields count="16">
    <pivotField showAll="0"/>
    <pivotField numFmtId="170" showAll="0">
      <items count="148">
        <item x="46"/>
        <item x="80"/>
        <item x="76"/>
        <item x="20"/>
        <item x="81"/>
        <item x="139"/>
        <item x="39"/>
        <item x="126"/>
        <item x="66"/>
        <item x="118"/>
        <item x="22"/>
        <item x="143"/>
        <item x="96"/>
        <item x="98"/>
        <item x="133"/>
        <item x="44"/>
        <item x="6"/>
        <item x="40"/>
        <item x="43"/>
        <item x="61"/>
        <item x="102"/>
        <item x="106"/>
        <item x="123"/>
        <item x="110"/>
        <item x="83"/>
        <item x="131"/>
        <item x="12"/>
        <item x="64"/>
        <item x="105"/>
        <item x="122"/>
        <item x="87"/>
        <item x="56"/>
        <item x="28"/>
        <item x="107"/>
        <item x="50"/>
        <item x="5"/>
        <item x="116"/>
        <item x="101"/>
        <item x="119"/>
        <item x="1"/>
        <item x="11"/>
        <item x="72"/>
        <item x="41"/>
        <item x="86"/>
        <item x="54"/>
        <item x="48"/>
        <item x="32"/>
        <item x="68"/>
        <item x="141"/>
        <item x="45"/>
        <item x="42"/>
        <item x="8"/>
        <item x="0"/>
        <item x="2"/>
        <item x="128"/>
        <item x="91"/>
        <item x="26"/>
        <item x="37"/>
        <item x="144"/>
        <item x="57"/>
        <item x="140"/>
        <item x="104"/>
        <item x="89"/>
        <item x="3"/>
        <item x="127"/>
        <item x="70"/>
        <item x="129"/>
        <item x="79"/>
        <item x="35"/>
        <item x="23"/>
        <item x="130"/>
        <item x="142"/>
        <item x="16"/>
        <item x="99"/>
        <item x="69"/>
        <item x="25"/>
        <item x="30"/>
        <item x="117"/>
        <item x="121"/>
        <item x="71"/>
        <item x="55"/>
        <item x="36"/>
        <item x="74"/>
        <item x="13"/>
        <item x="92"/>
        <item x="88"/>
        <item x="73"/>
        <item x="49"/>
        <item x="78"/>
        <item x="24"/>
        <item x="95"/>
        <item x="82"/>
        <item x="19"/>
        <item x="60"/>
        <item x="10"/>
        <item x="4"/>
        <item x="124"/>
        <item x="63"/>
        <item x="58"/>
        <item x="132"/>
        <item x="21"/>
        <item x="52"/>
        <item x="111"/>
        <item x="53"/>
        <item x="90"/>
        <item x="115"/>
        <item x="85"/>
        <item x="94"/>
        <item x="125"/>
        <item x="27"/>
        <item x="15"/>
        <item x="47"/>
        <item x="134"/>
        <item x="137"/>
        <item x="51"/>
        <item x="18"/>
        <item x="17"/>
        <item x="108"/>
        <item x="9"/>
        <item x="14"/>
        <item x="34"/>
        <item x="38"/>
        <item x="31"/>
        <item x="109"/>
        <item x="84"/>
        <item x="138"/>
        <item x="113"/>
        <item x="100"/>
        <item x="75"/>
        <item x="120"/>
        <item x="65"/>
        <item x="29"/>
        <item x="97"/>
        <item x="103"/>
        <item x="136"/>
        <item x="112"/>
        <item x="146"/>
        <item x="93"/>
        <item x="135"/>
        <item x="67"/>
        <item x="33"/>
        <item x="59"/>
        <item x="62"/>
        <item x="145"/>
        <item x="114"/>
        <item x="77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Average  LOS (Days)" fld="11" subtotal="average" baseField="15" baseItem="3" numFmtId="166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ED58B-DEF6-4C62-B981-B5D2F5C6E3FC}" name="Monthly revenue Report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16" firstHeaderRow="1" firstDataRow="1" firstDataCol="1"/>
  <pivotFields count="16">
    <pivotField showAll="0"/>
    <pivotField numFmtId="170" showAll="0">
      <items count="148">
        <item x="46"/>
        <item x="80"/>
        <item x="76"/>
        <item x="20"/>
        <item x="81"/>
        <item x="139"/>
        <item x="39"/>
        <item x="126"/>
        <item x="66"/>
        <item x="118"/>
        <item x="22"/>
        <item x="143"/>
        <item x="96"/>
        <item x="98"/>
        <item x="133"/>
        <item x="44"/>
        <item x="6"/>
        <item x="40"/>
        <item x="43"/>
        <item x="61"/>
        <item x="102"/>
        <item x="106"/>
        <item x="123"/>
        <item x="110"/>
        <item x="83"/>
        <item x="131"/>
        <item x="12"/>
        <item x="64"/>
        <item x="105"/>
        <item x="122"/>
        <item x="87"/>
        <item x="56"/>
        <item x="28"/>
        <item x="107"/>
        <item x="50"/>
        <item x="5"/>
        <item x="116"/>
        <item x="101"/>
        <item x="119"/>
        <item x="1"/>
        <item x="11"/>
        <item x="72"/>
        <item x="41"/>
        <item x="86"/>
        <item x="54"/>
        <item x="48"/>
        <item x="32"/>
        <item x="68"/>
        <item x="141"/>
        <item x="45"/>
        <item x="42"/>
        <item x="8"/>
        <item x="0"/>
        <item x="2"/>
        <item x="128"/>
        <item x="91"/>
        <item x="26"/>
        <item x="37"/>
        <item x="144"/>
        <item x="57"/>
        <item x="140"/>
        <item x="104"/>
        <item x="89"/>
        <item x="3"/>
        <item x="127"/>
        <item x="70"/>
        <item x="129"/>
        <item x="79"/>
        <item x="35"/>
        <item x="23"/>
        <item x="130"/>
        <item x="142"/>
        <item x="16"/>
        <item x="99"/>
        <item x="69"/>
        <item x="25"/>
        <item x="30"/>
        <item x="117"/>
        <item x="121"/>
        <item x="71"/>
        <item x="55"/>
        <item x="36"/>
        <item x="74"/>
        <item x="13"/>
        <item x="92"/>
        <item x="88"/>
        <item x="73"/>
        <item x="49"/>
        <item x="78"/>
        <item x="24"/>
        <item x="95"/>
        <item x="82"/>
        <item x="19"/>
        <item x="60"/>
        <item x="10"/>
        <item x="4"/>
        <item x="124"/>
        <item x="63"/>
        <item x="58"/>
        <item x="132"/>
        <item x="21"/>
        <item x="52"/>
        <item x="111"/>
        <item x="53"/>
        <item x="90"/>
        <item x="115"/>
        <item x="85"/>
        <item x="94"/>
        <item x="125"/>
        <item x="27"/>
        <item x="15"/>
        <item x="47"/>
        <item x="134"/>
        <item x="137"/>
        <item x="51"/>
        <item x="18"/>
        <item x="17"/>
        <item x="108"/>
        <item x="9"/>
        <item x="14"/>
        <item x="34"/>
        <item x="38"/>
        <item x="31"/>
        <item x="109"/>
        <item x="84"/>
        <item x="138"/>
        <item x="113"/>
        <item x="100"/>
        <item x="75"/>
        <item x="120"/>
        <item x="65"/>
        <item x="29"/>
        <item x="97"/>
        <item x="103"/>
        <item x="136"/>
        <item x="112"/>
        <item x="146"/>
        <item x="93"/>
        <item x="135"/>
        <item x="67"/>
        <item x="33"/>
        <item x="59"/>
        <item x="62"/>
        <item x="145"/>
        <item x="114"/>
        <item x="77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>
      <items count="200">
        <item x="20"/>
        <item x="116"/>
        <item x="16"/>
        <item x="156"/>
        <item x="187"/>
        <item x="162"/>
        <item x="46"/>
        <item x="40"/>
        <item x="67"/>
        <item x="61"/>
        <item x="148"/>
        <item x="91"/>
        <item x="71"/>
        <item x="158"/>
        <item x="31"/>
        <item x="17"/>
        <item x="131"/>
        <item x="130"/>
        <item x="109"/>
        <item x="3"/>
        <item x="73"/>
        <item x="118"/>
        <item x="134"/>
        <item x="140"/>
        <item x="19"/>
        <item x="50"/>
        <item x="32"/>
        <item x="127"/>
        <item x="10"/>
        <item x="104"/>
        <item x="177"/>
        <item x="55"/>
        <item x="164"/>
        <item x="36"/>
        <item x="149"/>
        <item x="14"/>
        <item x="194"/>
        <item x="172"/>
        <item x="26"/>
        <item x="192"/>
        <item x="135"/>
        <item x="42"/>
        <item x="170"/>
        <item x="132"/>
        <item x="145"/>
        <item x="28"/>
        <item x="63"/>
        <item x="44"/>
        <item x="1"/>
        <item x="0"/>
        <item x="165"/>
        <item x="197"/>
        <item x="167"/>
        <item x="159"/>
        <item x="123"/>
        <item x="198"/>
        <item x="27"/>
        <item x="105"/>
        <item x="74"/>
        <item x="21"/>
        <item x="77"/>
        <item x="117"/>
        <item x="83"/>
        <item x="51"/>
        <item x="152"/>
        <item x="168"/>
        <item x="81"/>
        <item x="99"/>
        <item x="66"/>
        <item x="80"/>
        <item x="179"/>
        <item x="76"/>
        <item x="186"/>
        <item x="110"/>
        <item x="85"/>
        <item x="72"/>
        <item x="45"/>
        <item x="100"/>
        <item x="195"/>
        <item x="6"/>
        <item x="43"/>
        <item x="60"/>
        <item x="47"/>
        <item x="128"/>
        <item x="119"/>
        <item x="141"/>
        <item x="9"/>
        <item x="79"/>
        <item x="98"/>
        <item x="183"/>
        <item x="157"/>
        <item x="189"/>
        <item x="94"/>
        <item x="101"/>
        <item x="196"/>
        <item x="180"/>
        <item x="58"/>
        <item x="125"/>
        <item x="56"/>
        <item x="96"/>
        <item x="52"/>
        <item x="188"/>
        <item x="78"/>
        <item x="178"/>
        <item x="136"/>
        <item x="35"/>
        <item x="114"/>
        <item x="154"/>
        <item x="4"/>
        <item x="24"/>
        <item x="106"/>
        <item x="191"/>
        <item x="139"/>
        <item x="102"/>
        <item x="184"/>
        <item x="87"/>
        <item x="107"/>
        <item x="146"/>
        <item x="182"/>
        <item x="86"/>
        <item x="5"/>
        <item x="163"/>
        <item x="57"/>
        <item x="120"/>
        <item x="15"/>
        <item x="129"/>
        <item x="161"/>
        <item x="38"/>
        <item x="65"/>
        <item x="121"/>
        <item x="89"/>
        <item x="53"/>
        <item x="23"/>
        <item x="150"/>
        <item x="30"/>
        <item x="166"/>
        <item x="115"/>
        <item x="48"/>
        <item x="90"/>
        <item x="69"/>
        <item x="59"/>
        <item x="111"/>
        <item x="122"/>
        <item x="124"/>
        <item x="151"/>
        <item x="160"/>
        <item x="147"/>
        <item x="153"/>
        <item x="185"/>
        <item x="133"/>
        <item x="169"/>
        <item x="12"/>
        <item x="181"/>
        <item x="22"/>
        <item x="25"/>
        <item x="2"/>
        <item x="143"/>
        <item x="75"/>
        <item x="103"/>
        <item x="68"/>
        <item x="171"/>
        <item x="49"/>
        <item x="54"/>
        <item x="88"/>
        <item x="144"/>
        <item x="18"/>
        <item x="34"/>
        <item x="41"/>
        <item x="126"/>
        <item x="138"/>
        <item x="113"/>
        <item x="174"/>
        <item x="37"/>
        <item x="92"/>
        <item x="29"/>
        <item x="64"/>
        <item x="155"/>
        <item x="93"/>
        <item x="142"/>
        <item x="190"/>
        <item x="176"/>
        <item x="7"/>
        <item x="62"/>
        <item x="84"/>
        <item x="39"/>
        <item x="95"/>
        <item x="137"/>
        <item x="70"/>
        <item x="175"/>
        <item x="97"/>
        <item x="173"/>
        <item x="13"/>
        <item x="82"/>
        <item x="193"/>
        <item x="108"/>
        <item x="8"/>
        <item x="33"/>
        <item x="11"/>
        <item x="112"/>
        <item t="default"/>
      </items>
    </pivotField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Bill ()" fld="12" baseField="15" baseItem="8" numFmtId="16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7763B-516A-49B5-B29B-B9C7F9A7D0FD}" name="Monthly Patient Count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6" firstHeaderRow="1" firstDataRow="1" firstDataCol="1"/>
  <pivotFields count="16">
    <pivotField dataField="1" showAll="0"/>
    <pivotField numFmtId="170" showAll="0">
      <items count="148">
        <item x="46"/>
        <item x="80"/>
        <item x="76"/>
        <item x="20"/>
        <item x="81"/>
        <item x="139"/>
        <item x="39"/>
        <item x="126"/>
        <item x="66"/>
        <item x="118"/>
        <item x="22"/>
        <item x="143"/>
        <item x="96"/>
        <item x="98"/>
        <item x="133"/>
        <item x="44"/>
        <item x="6"/>
        <item x="40"/>
        <item x="43"/>
        <item x="61"/>
        <item x="102"/>
        <item x="106"/>
        <item x="123"/>
        <item x="110"/>
        <item x="83"/>
        <item x="131"/>
        <item x="12"/>
        <item x="64"/>
        <item x="105"/>
        <item x="122"/>
        <item x="87"/>
        <item x="56"/>
        <item x="28"/>
        <item x="107"/>
        <item x="50"/>
        <item x="5"/>
        <item x="116"/>
        <item x="101"/>
        <item x="119"/>
        <item x="1"/>
        <item x="11"/>
        <item x="72"/>
        <item x="41"/>
        <item x="86"/>
        <item x="54"/>
        <item x="48"/>
        <item x="32"/>
        <item x="68"/>
        <item x="141"/>
        <item x="45"/>
        <item x="42"/>
        <item x="8"/>
        <item x="0"/>
        <item x="2"/>
        <item x="128"/>
        <item x="91"/>
        <item x="26"/>
        <item x="37"/>
        <item x="144"/>
        <item x="57"/>
        <item x="140"/>
        <item x="104"/>
        <item x="89"/>
        <item x="3"/>
        <item x="127"/>
        <item x="70"/>
        <item x="129"/>
        <item x="79"/>
        <item x="35"/>
        <item x="23"/>
        <item x="130"/>
        <item x="142"/>
        <item x="16"/>
        <item x="99"/>
        <item x="69"/>
        <item x="25"/>
        <item x="30"/>
        <item x="117"/>
        <item x="121"/>
        <item x="71"/>
        <item x="55"/>
        <item x="36"/>
        <item x="74"/>
        <item x="13"/>
        <item x="92"/>
        <item x="88"/>
        <item x="73"/>
        <item x="49"/>
        <item x="78"/>
        <item x="24"/>
        <item x="95"/>
        <item x="82"/>
        <item x="19"/>
        <item x="60"/>
        <item x="10"/>
        <item x="4"/>
        <item x="124"/>
        <item x="63"/>
        <item x="58"/>
        <item x="132"/>
        <item x="21"/>
        <item x="52"/>
        <item x="111"/>
        <item x="53"/>
        <item x="90"/>
        <item x="115"/>
        <item x="85"/>
        <item x="94"/>
        <item x="125"/>
        <item x="27"/>
        <item x="15"/>
        <item x="47"/>
        <item x="134"/>
        <item x="137"/>
        <item x="51"/>
        <item x="18"/>
        <item x="17"/>
        <item x="108"/>
        <item x="9"/>
        <item x="14"/>
        <item x="34"/>
        <item x="38"/>
        <item x="31"/>
        <item x="109"/>
        <item x="84"/>
        <item x="138"/>
        <item x="113"/>
        <item x="100"/>
        <item x="75"/>
        <item x="120"/>
        <item x="65"/>
        <item x="29"/>
        <item x="97"/>
        <item x="103"/>
        <item x="136"/>
        <item x="112"/>
        <item x="146"/>
        <item x="93"/>
        <item x="135"/>
        <item x="67"/>
        <item x="33"/>
        <item x="59"/>
        <item x="62"/>
        <item x="145"/>
        <item x="114"/>
        <item x="77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Patient ID" fld="0" subtotal="count" baseField="0" baseItem="0"/>
  </dataFields>
  <chartFormats count="1">
    <chartFormat chart="13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tientData" displayName="PatientData" ref="A2:N201" totalsRowShown="0">
  <autoFilter ref="A2:N201" xr:uid="{00000000-0009-0000-0100-000001000000}"/>
  <tableColumns count="14">
    <tableColumn id="1" xr3:uid="{00000000-0010-0000-0000-000001000000}" name="Patient ID"/>
    <tableColumn id="2" xr3:uid="{00000000-0010-0000-0000-000002000000}" name="Visit Date"/>
    <tableColumn id="15" xr3:uid="{C790FA52-ACCC-4FFB-9A98-069CC5A3F9A4}" name="Months" dataDxfId="0">
      <calculatedColumnFormula>ISNUMBER(B3)</calculatedColumnFormula>
    </tableColumn>
    <tableColumn id="3" xr3:uid="{00000000-0010-0000-0000-000003000000}" name="Discharge Date"/>
    <tableColumn id="4" xr3:uid="{00000000-0010-0000-0000-000004000000}" name="Age"/>
    <tableColumn id="5" xr3:uid="{00000000-0010-0000-0000-000005000000}" name="Gender"/>
    <tableColumn id="6" xr3:uid="{00000000-0010-0000-0000-000006000000}" name="Ward"/>
    <tableColumn id="7" xr3:uid="{00000000-0010-0000-0000-000007000000}" name="Doctor"/>
    <tableColumn id="8" xr3:uid="{00000000-0010-0000-0000-000008000000}" name="Diagnosis"/>
    <tableColumn id="9" xr3:uid="{00000000-0010-0000-0000-000009000000}" name="Treatment"/>
    <tableColumn id="10" xr3:uid="{00000000-0010-0000-0000-00000A000000}" name="Outcome"/>
    <tableColumn id="11" xr3:uid="{00000000-0010-0000-0000-00000B000000}" name="LOS (Days)"/>
    <tableColumn id="12" xr3:uid="{00000000-0010-0000-0000-00000C000000}" name="Bill ()"/>
    <tableColumn id="13" xr3:uid="{00000000-0010-0000-0000-00000D000000}" name="Satisfac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C0AC5-1118-4412-934B-9A9308B7CD83}">
  <sheetPr>
    <tabColor theme="8" tint="0.39997558519241921"/>
  </sheetPr>
  <dimension ref="A3:M17"/>
  <sheetViews>
    <sheetView workbookViewId="0">
      <selection activeCell="K30" sqref="K30"/>
    </sheetView>
  </sheetViews>
  <sheetFormatPr defaultRowHeight="14.25" x14ac:dyDescent="0.45"/>
  <cols>
    <col min="1" max="1" width="12.06640625" bestFit="1" customWidth="1"/>
    <col min="2" max="2" width="16.265625" bestFit="1" customWidth="1"/>
    <col min="4" max="4" width="12.06640625" bestFit="1" customWidth="1"/>
    <col min="5" max="5" width="12.19921875" bestFit="1" customWidth="1"/>
    <col min="7" max="7" width="12.06640625" bestFit="1" customWidth="1"/>
    <col min="8" max="8" width="17.06640625" bestFit="1" customWidth="1"/>
    <col min="10" max="10" width="16.265625" bestFit="1" customWidth="1"/>
    <col min="11" max="11" width="14.73046875" bestFit="1" customWidth="1"/>
    <col min="12" max="12" width="4.796875" bestFit="1" customWidth="1"/>
    <col min="13" max="13" width="10.19921875" bestFit="1" customWidth="1"/>
  </cols>
  <sheetData>
    <row r="3" spans="1:13" x14ac:dyDescent="0.45">
      <c r="A3" s="70" t="s">
        <v>442</v>
      </c>
      <c r="B3" t="s">
        <v>445</v>
      </c>
      <c r="D3" s="70" t="s">
        <v>442</v>
      </c>
      <c r="E3" t="s">
        <v>459</v>
      </c>
      <c r="G3" s="70" t="s">
        <v>442</v>
      </c>
      <c r="H3" t="s">
        <v>460</v>
      </c>
      <c r="J3" s="70" t="s">
        <v>445</v>
      </c>
      <c r="K3" s="70" t="s">
        <v>461</v>
      </c>
    </row>
    <row r="4" spans="1:13" x14ac:dyDescent="0.45">
      <c r="A4" s="71" t="s">
        <v>447</v>
      </c>
      <c r="B4" s="72">
        <v>14</v>
      </c>
      <c r="D4" s="71" t="s">
        <v>447</v>
      </c>
      <c r="E4" s="74">
        <v>565802.29</v>
      </c>
      <c r="G4" s="71" t="s">
        <v>447</v>
      </c>
      <c r="H4" s="73">
        <v>6.9285714285714288</v>
      </c>
      <c r="J4" s="70" t="s">
        <v>442</v>
      </c>
      <c r="K4" t="s">
        <v>26</v>
      </c>
      <c r="L4" t="s">
        <v>15</v>
      </c>
      <c r="M4" t="s">
        <v>443</v>
      </c>
    </row>
    <row r="5" spans="1:13" x14ac:dyDescent="0.45">
      <c r="A5" s="71" t="s">
        <v>448</v>
      </c>
      <c r="B5" s="72">
        <v>9</v>
      </c>
      <c r="D5" s="71" t="s">
        <v>448</v>
      </c>
      <c r="E5" s="74">
        <v>417109.64000000007</v>
      </c>
      <c r="G5" s="71" t="s">
        <v>448</v>
      </c>
      <c r="H5" s="73">
        <v>10.222222222222221</v>
      </c>
      <c r="J5" s="71" t="s">
        <v>447</v>
      </c>
      <c r="K5" s="72">
        <v>4</v>
      </c>
      <c r="L5" s="72">
        <v>10</v>
      </c>
      <c r="M5" s="72">
        <v>14</v>
      </c>
    </row>
    <row r="6" spans="1:13" x14ac:dyDescent="0.45">
      <c r="A6" s="71" t="s">
        <v>449</v>
      </c>
      <c r="B6" s="72">
        <v>13</v>
      </c>
      <c r="D6" s="71" t="s">
        <v>449</v>
      </c>
      <c r="E6" s="74">
        <v>514091.7699999999</v>
      </c>
      <c r="G6" s="71" t="s">
        <v>449</v>
      </c>
      <c r="H6" s="73">
        <v>8.615384615384615</v>
      </c>
      <c r="J6" s="71" t="s">
        <v>448</v>
      </c>
      <c r="K6" s="72">
        <v>3</v>
      </c>
      <c r="L6" s="72">
        <v>6</v>
      </c>
      <c r="M6" s="72">
        <v>9</v>
      </c>
    </row>
    <row r="7" spans="1:13" x14ac:dyDescent="0.45">
      <c r="A7" s="71" t="s">
        <v>450</v>
      </c>
      <c r="B7" s="72">
        <v>20</v>
      </c>
      <c r="D7" s="71" t="s">
        <v>450</v>
      </c>
      <c r="E7" s="74">
        <v>854869.79999999993</v>
      </c>
      <c r="G7" s="71" t="s">
        <v>450</v>
      </c>
      <c r="H7" s="73">
        <v>7.45</v>
      </c>
      <c r="J7" s="71" t="s">
        <v>449</v>
      </c>
      <c r="K7" s="72">
        <v>4</v>
      </c>
      <c r="L7" s="72">
        <v>9</v>
      </c>
      <c r="M7" s="72">
        <v>13</v>
      </c>
    </row>
    <row r="8" spans="1:13" x14ac:dyDescent="0.45">
      <c r="A8" s="71" t="s">
        <v>451</v>
      </c>
      <c r="B8" s="72">
        <v>19</v>
      </c>
      <c r="D8" s="71" t="s">
        <v>451</v>
      </c>
      <c r="E8" s="74">
        <v>887614.97000000009</v>
      </c>
      <c r="G8" s="71" t="s">
        <v>451</v>
      </c>
      <c r="H8" s="73">
        <v>6.9473684210526319</v>
      </c>
      <c r="J8" s="71" t="s">
        <v>450</v>
      </c>
      <c r="K8" s="72">
        <v>9</v>
      </c>
      <c r="L8" s="72">
        <v>11</v>
      </c>
      <c r="M8" s="72">
        <v>20</v>
      </c>
    </row>
    <row r="9" spans="1:13" x14ac:dyDescent="0.45">
      <c r="A9" s="71" t="s">
        <v>452</v>
      </c>
      <c r="B9" s="72">
        <v>11</v>
      </c>
      <c r="D9" s="71" t="s">
        <v>452</v>
      </c>
      <c r="E9" s="74">
        <v>314048.19</v>
      </c>
      <c r="G9" s="71" t="s">
        <v>452</v>
      </c>
      <c r="H9" s="73">
        <v>6.4545454545454541</v>
      </c>
      <c r="J9" s="71" t="s">
        <v>451</v>
      </c>
      <c r="K9" s="72">
        <v>7</v>
      </c>
      <c r="L9" s="72">
        <v>12</v>
      </c>
      <c r="M9" s="72">
        <v>19</v>
      </c>
    </row>
    <row r="10" spans="1:13" x14ac:dyDescent="0.45">
      <c r="A10" s="71" t="s">
        <v>453</v>
      </c>
      <c r="B10" s="72">
        <v>21</v>
      </c>
      <c r="D10" s="71" t="s">
        <v>453</v>
      </c>
      <c r="E10" s="74">
        <v>679353.72</v>
      </c>
      <c r="G10" s="71" t="s">
        <v>453</v>
      </c>
      <c r="H10" s="73">
        <v>5.9523809523809526</v>
      </c>
      <c r="J10" s="71" t="s">
        <v>452</v>
      </c>
      <c r="K10" s="72">
        <v>5</v>
      </c>
      <c r="L10" s="72">
        <v>6</v>
      </c>
      <c r="M10" s="72">
        <v>11</v>
      </c>
    </row>
    <row r="11" spans="1:13" x14ac:dyDescent="0.45">
      <c r="A11" s="71" t="s">
        <v>454</v>
      </c>
      <c r="B11" s="72">
        <v>31</v>
      </c>
      <c r="D11" s="71" t="s">
        <v>454</v>
      </c>
      <c r="E11" s="74">
        <v>1387923.41</v>
      </c>
      <c r="G11" s="71" t="s">
        <v>454</v>
      </c>
      <c r="H11" s="73">
        <v>7.32258064516129</v>
      </c>
      <c r="J11" s="71" t="s">
        <v>453</v>
      </c>
      <c r="K11" s="72">
        <v>12</v>
      </c>
      <c r="L11" s="72">
        <v>9</v>
      </c>
      <c r="M11" s="72">
        <v>21</v>
      </c>
    </row>
    <row r="12" spans="1:13" x14ac:dyDescent="0.45">
      <c r="A12" s="71" t="s">
        <v>455</v>
      </c>
      <c r="B12" s="72">
        <v>19</v>
      </c>
      <c r="D12" s="71" t="s">
        <v>455</v>
      </c>
      <c r="E12" s="74">
        <v>744260.04999999993</v>
      </c>
      <c r="G12" s="71" t="s">
        <v>455</v>
      </c>
      <c r="H12" s="73">
        <v>8.526315789473685</v>
      </c>
      <c r="J12" s="71" t="s">
        <v>454</v>
      </c>
      <c r="K12" s="72">
        <v>13</v>
      </c>
      <c r="L12" s="72">
        <v>18</v>
      </c>
      <c r="M12" s="72">
        <v>31</v>
      </c>
    </row>
    <row r="13" spans="1:13" x14ac:dyDescent="0.45">
      <c r="A13" s="71" t="s">
        <v>456</v>
      </c>
      <c r="B13" s="72">
        <v>17</v>
      </c>
      <c r="D13" s="71" t="s">
        <v>456</v>
      </c>
      <c r="E13" s="74">
        <v>748997.13</v>
      </c>
      <c r="G13" s="71" t="s">
        <v>456</v>
      </c>
      <c r="H13" s="73">
        <v>8.2941176470588243</v>
      </c>
      <c r="J13" s="71" t="s">
        <v>455</v>
      </c>
      <c r="K13" s="72">
        <v>7</v>
      </c>
      <c r="L13" s="72">
        <v>12</v>
      </c>
      <c r="M13" s="72">
        <v>19</v>
      </c>
    </row>
    <row r="14" spans="1:13" x14ac:dyDescent="0.45">
      <c r="A14" s="71" t="s">
        <v>457</v>
      </c>
      <c r="B14" s="72">
        <v>17</v>
      </c>
      <c r="D14" s="71" t="s">
        <v>457</v>
      </c>
      <c r="E14" s="74">
        <v>887333.97000000009</v>
      </c>
      <c r="G14" s="71" t="s">
        <v>457</v>
      </c>
      <c r="H14" s="73">
        <v>6.4705882352941178</v>
      </c>
      <c r="J14" s="71" t="s">
        <v>456</v>
      </c>
      <c r="K14" s="72">
        <v>9</v>
      </c>
      <c r="L14" s="72">
        <v>8</v>
      </c>
      <c r="M14" s="72">
        <v>17</v>
      </c>
    </row>
    <row r="15" spans="1:13" x14ac:dyDescent="0.45">
      <c r="A15" s="71" t="s">
        <v>458</v>
      </c>
      <c r="B15" s="72">
        <v>8</v>
      </c>
      <c r="D15" s="71" t="s">
        <v>458</v>
      </c>
      <c r="E15" s="74">
        <v>439188.84</v>
      </c>
      <c r="G15" s="71" t="s">
        <v>458</v>
      </c>
      <c r="H15" s="73">
        <v>4.625</v>
      </c>
      <c r="J15" s="71" t="s">
        <v>457</v>
      </c>
      <c r="K15" s="72">
        <v>5</v>
      </c>
      <c r="L15" s="72">
        <v>12</v>
      </c>
      <c r="M15" s="72">
        <v>17</v>
      </c>
    </row>
    <row r="16" spans="1:13" x14ac:dyDescent="0.45">
      <c r="A16" s="71" t="s">
        <v>443</v>
      </c>
      <c r="B16" s="72">
        <v>199</v>
      </c>
      <c r="D16" s="71" t="s">
        <v>443</v>
      </c>
      <c r="E16" s="74">
        <v>8440593.7799999993</v>
      </c>
      <c r="G16" s="71" t="s">
        <v>443</v>
      </c>
      <c r="H16" s="73">
        <v>7.3115577889447234</v>
      </c>
      <c r="J16" s="71" t="s">
        <v>458</v>
      </c>
      <c r="K16" s="72">
        <v>2</v>
      </c>
      <c r="L16" s="72">
        <v>6</v>
      </c>
      <c r="M16" s="72">
        <v>8</v>
      </c>
    </row>
    <row r="17" spans="10:13" x14ac:dyDescent="0.45">
      <c r="J17" s="71" t="s">
        <v>443</v>
      </c>
      <c r="K17" s="72">
        <v>80</v>
      </c>
      <c r="L17" s="72">
        <v>119</v>
      </c>
      <c r="M17" s="72">
        <v>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39997558519241921"/>
  </sheetPr>
  <dimension ref="A1:N202"/>
  <sheetViews>
    <sheetView zoomScaleNormal="100" workbookViewId="0">
      <pane ySplit="2" topLeftCell="A3" activePane="bottomLeft" state="frozen"/>
      <selection pane="bottomLeft" activeCell="A3" sqref="A3:N201"/>
    </sheetView>
  </sheetViews>
  <sheetFormatPr defaultColWidth="8.6640625" defaultRowHeight="14.25" x14ac:dyDescent="0.45"/>
  <cols>
    <col min="1" max="1" width="12" customWidth="1"/>
    <col min="2" max="2" width="13.9296875" bestFit="1" customWidth="1"/>
    <col min="3" max="4" width="19.265625" bestFit="1" customWidth="1"/>
    <col min="5" max="5" width="9" customWidth="1"/>
    <col min="6" max="6" width="13" customWidth="1"/>
    <col min="7" max="7" width="14" customWidth="1"/>
    <col min="8" max="9" width="20" customWidth="1"/>
    <col min="10" max="10" width="13" customWidth="1"/>
    <col min="11" max="11" width="10" customWidth="1"/>
    <col min="12" max="12" width="13" customWidth="1"/>
    <col min="13" max="13" width="9.9296875" bestFit="1" customWidth="1"/>
    <col min="14" max="14" width="16.1328125" bestFit="1" customWidth="1"/>
  </cols>
  <sheetData>
    <row r="1" spans="1:14" ht="27.75" customHeight="1" x14ac:dyDescent="0.45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4" ht="21.75" customHeight="1" x14ac:dyDescent="0.45">
      <c r="A2" s="1" t="s">
        <v>1</v>
      </c>
      <c r="B2" s="75" t="s">
        <v>2</v>
      </c>
      <c r="C2" s="77" t="s">
        <v>444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446</v>
      </c>
      <c r="N2" s="1" t="s">
        <v>12</v>
      </c>
    </row>
    <row r="3" spans="1:14" ht="15" customHeight="1" x14ac:dyDescent="0.45">
      <c r="A3" s="2" t="s">
        <v>13</v>
      </c>
      <c r="B3" s="76">
        <v>45432</v>
      </c>
      <c r="C3" s="76" t="b">
        <f t="shared" ref="C3:C34" si="0">ISNUMBER(B3)</f>
        <v>1</v>
      </c>
      <c r="D3" s="2" t="s">
        <v>14</v>
      </c>
      <c r="E3" s="2">
        <v>19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19</v>
      </c>
      <c r="K3" s="3" t="s">
        <v>20</v>
      </c>
      <c r="L3" s="2">
        <v>12</v>
      </c>
      <c r="M3" s="4">
        <v>23366.89</v>
      </c>
      <c r="N3" s="5">
        <v>74</v>
      </c>
    </row>
    <row r="4" spans="1:14" ht="15" customHeight="1" x14ac:dyDescent="0.45">
      <c r="A4" s="6" t="s">
        <v>21</v>
      </c>
      <c r="B4" s="76">
        <v>45403</v>
      </c>
      <c r="C4" s="76" t="b">
        <f t="shared" si="0"/>
        <v>1</v>
      </c>
      <c r="D4" s="6" t="s">
        <v>22</v>
      </c>
      <c r="E4" s="6">
        <v>19</v>
      </c>
      <c r="F4" s="6" t="s">
        <v>15</v>
      </c>
      <c r="G4" s="6" t="s">
        <v>16</v>
      </c>
      <c r="H4" s="6" t="s">
        <v>17</v>
      </c>
      <c r="I4" s="6" t="s">
        <v>23</v>
      </c>
      <c r="J4" s="6" t="s">
        <v>24</v>
      </c>
      <c r="K4" s="3" t="s">
        <v>20</v>
      </c>
      <c r="L4" s="6">
        <v>2</v>
      </c>
      <c r="M4" s="7">
        <v>22449.57</v>
      </c>
      <c r="N4" s="8">
        <v>89</v>
      </c>
    </row>
    <row r="5" spans="1:14" ht="15" customHeight="1" x14ac:dyDescent="0.45">
      <c r="A5" s="2" t="s">
        <v>25</v>
      </c>
      <c r="B5" s="76">
        <v>45434</v>
      </c>
      <c r="C5" s="76" t="b">
        <f t="shared" si="0"/>
        <v>1</v>
      </c>
      <c r="D5" s="2" t="s">
        <v>14</v>
      </c>
      <c r="E5" s="2">
        <v>46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9" t="s">
        <v>31</v>
      </c>
      <c r="L5" s="2">
        <v>10</v>
      </c>
      <c r="M5" s="4">
        <v>65707.28</v>
      </c>
      <c r="N5" s="5">
        <v>70</v>
      </c>
    </row>
    <row r="6" spans="1:14" ht="15" customHeight="1" x14ac:dyDescent="0.45">
      <c r="A6" s="6" t="s">
        <v>32</v>
      </c>
      <c r="B6" s="76">
        <v>45464</v>
      </c>
      <c r="C6" s="76" t="b">
        <f t="shared" si="0"/>
        <v>1</v>
      </c>
      <c r="D6" s="6" t="s">
        <v>34</v>
      </c>
      <c r="E6" s="6">
        <v>31</v>
      </c>
      <c r="F6" s="6" t="s">
        <v>26</v>
      </c>
      <c r="G6" s="6" t="s">
        <v>27</v>
      </c>
      <c r="H6" s="6" t="s">
        <v>35</v>
      </c>
      <c r="I6" s="6" t="s">
        <v>36</v>
      </c>
      <c r="J6" s="6" t="s">
        <v>37</v>
      </c>
      <c r="K6" s="3" t="s">
        <v>20</v>
      </c>
      <c r="L6" s="6">
        <v>13</v>
      </c>
      <c r="M6" s="7">
        <v>12665.77</v>
      </c>
      <c r="N6" s="8">
        <v>82</v>
      </c>
    </row>
    <row r="7" spans="1:14" ht="15" customHeight="1" x14ac:dyDescent="0.45">
      <c r="A7" s="2" t="s">
        <v>38</v>
      </c>
      <c r="B7" s="76">
        <v>45527</v>
      </c>
      <c r="C7" s="76" t="b">
        <f t="shared" si="0"/>
        <v>1</v>
      </c>
      <c r="D7" s="2" t="s">
        <v>39</v>
      </c>
      <c r="E7" s="2">
        <v>69</v>
      </c>
      <c r="F7" s="2" t="s">
        <v>15</v>
      </c>
      <c r="G7" s="2" t="s">
        <v>16</v>
      </c>
      <c r="H7" s="2" t="s">
        <v>28</v>
      </c>
      <c r="I7" s="2" t="s">
        <v>40</v>
      </c>
      <c r="J7" s="2" t="s">
        <v>41</v>
      </c>
      <c r="K7" s="10" t="s">
        <v>42</v>
      </c>
      <c r="L7" s="2">
        <v>1</v>
      </c>
      <c r="M7" s="4">
        <v>45217.11</v>
      </c>
      <c r="N7" s="5">
        <v>99</v>
      </c>
    </row>
    <row r="8" spans="1:14" ht="15" customHeight="1" x14ac:dyDescent="0.45">
      <c r="A8" s="6" t="s">
        <v>43</v>
      </c>
      <c r="B8" s="76">
        <v>45389</v>
      </c>
      <c r="C8" s="76" t="b">
        <f t="shared" si="0"/>
        <v>1</v>
      </c>
      <c r="D8" s="6" t="s">
        <v>44</v>
      </c>
      <c r="E8" s="6">
        <v>74</v>
      </c>
      <c r="F8" s="6" t="s">
        <v>15</v>
      </c>
      <c r="G8" s="6" t="s">
        <v>45</v>
      </c>
      <c r="H8" s="6" t="s">
        <v>28</v>
      </c>
      <c r="I8" s="6" t="s">
        <v>46</v>
      </c>
      <c r="J8" s="6" t="s">
        <v>47</v>
      </c>
      <c r="K8" s="3" t="s">
        <v>20</v>
      </c>
      <c r="L8" s="6">
        <v>14</v>
      </c>
      <c r="M8" s="7">
        <v>48301.41</v>
      </c>
      <c r="N8" s="8">
        <v>92</v>
      </c>
    </row>
    <row r="9" spans="1:14" ht="15" customHeight="1" x14ac:dyDescent="0.45">
      <c r="A9" s="2" t="s">
        <v>48</v>
      </c>
      <c r="B9" s="76">
        <v>45343</v>
      </c>
      <c r="C9" s="76" t="b">
        <f t="shared" si="0"/>
        <v>1</v>
      </c>
      <c r="D9" s="2" t="s">
        <v>49</v>
      </c>
      <c r="E9" s="2">
        <v>72</v>
      </c>
      <c r="F9" s="2" t="s">
        <v>15</v>
      </c>
      <c r="G9" s="2" t="s">
        <v>27</v>
      </c>
      <c r="H9" s="2" t="s">
        <v>28</v>
      </c>
      <c r="I9" s="2" t="s">
        <v>18</v>
      </c>
      <c r="J9" s="2" t="s">
        <v>19</v>
      </c>
      <c r="K9" s="11" t="s">
        <v>50</v>
      </c>
      <c r="L9" s="2">
        <v>4</v>
      </c>
      <c r="M9" s="4">
        <v>33509.47</v>
      </c>
      <c r="N9" s="5">
        <v>84</v>
      </c>
    </row>
    <row r="10" spans="1:14" ht="15" customHeight="1" x14ac:dyDescent="0.45">
      <c r="A10" s="6" t="s">
        <v>51</v>
      </c>
      <c r="B10" s="76">
        <v>45651</v>
      </c>
      <c r="C10" s="76" t="b">
        <f t="shared" si="0"/>
        <v>1</v>
      </c>
      <c r="D10" s="6" t="s">
        <v>53</v>
      </c>
      <c r="E10" s="6">
        <v>60</v>
      </c>
      <c r="F10" s="6" t="s">
        <v>15</v>
      </c>
      <c r="G10" s="6" t="s">
        <v>16</v>
      </c>
      <c r="H10" s="6" t="s">
        <v>54</v>
      </c>
      <c r="I10" s="6" t="s">
        <v>29</v>
      </c>
      <c r="J10" s="6" t="s">
        <v>30</v>
      </c>
      <c r="K10" s="3" t="s">
        <v>20</v>
      </c>
      <c r="L10" s="6">
        <v>5</v>
      </c>
      <c r="M10" s="7">
        <v>75249.09</v>
      </c>
      <c r="N10" s="8">
        <v>90</v>
      </c>
    </row>
    <row r="11" spans="1:14" ht="15" customHeight="1" x14ac:dyDescent="0.45">
      <c r="A11" s="2" t="s">
        <v>55</v>
      </c>
      <c r="B11" s="76">
        <v>45430</v>
      </c>
      <c r="C11" s="76" t="b">
        <f t="shared" si="0"/>
        <v>1</v>
      </c>
      <c r="D11" s="2" t="s">
        <v>56</v>
      </c>
      <c r="E11" s="2">
        <v>47</v>
      </c>
      <c r="F11" s="2" t="s">
        <v>15</v>
      </c>
      <c r="G11" s="2" t="s">
        <v>27</v>
      </c>
      <c r="H11" s="2" t="s">
        <v>57</v>
      </c>
      <c r="I11" s="2" t="s">
        <v>36</v>
      </c>
      <c r="J11" s="2" t="s">
        <v>37</v>
      </c>
      <c r="K11" s="12" t="s">
        <v>58</v>
      </c>
      <c r="L11" s="2">
        <v>7</v>
      </c>
      <c r="M11" s="4">
        <v>79214.25</v>
      </c>
      <c r="N11" s="5">
        <v>90</v>
      </c>
    </row>
    <row r="12" spans="1:14" ht="15" customHeight="1" x14ac:dyDescent="0.45">
      <c r="A12" s="6" t="s">
        <v>59</v>
      </c>
      <c r="B12" s="76">
        <v>45571</v>
      </c>
      <c r="C12" s="76" t="b">
        <f t="shared" si="0"/>
        <v>1</v>
      </c>
      <c r="D12" s="6" t="s">
        <v>60</v>
      </c>
      <c r="E12" s="6">
        <v>70</v>
      </c>
      <c r="F12" s="6" t="s">
        <v>26</v>
      </c>
      <c r="G12" s="6" t="s">
        <v>45</v>
      </c>
      <c r="H12" s="6" t="s">
        <v>17</v>
      </c>
      <c r="I12" s="6" t="s">
        <v>29</v>
      </c>
      <c r="J12" s="6" t="s">
        <v>30</v>
      </c>
      <c r="K12" s="9" t="s">
        <v>31</v>
      </c>
      <c r="L12" s="6">
        <v>1</v>
      </c>
      <c r="M12" s="7">
        <v>35087.360000000001</v>
      </c>
      <c r="N12" s="8">
        <v>72</v>
      </c>
    </row>
    <row r="13" spans="1:14" ht="15" customHeight="1" x14ac:dyDescent="0.45">
      <c r="A13" s="2" t="s">
        <v>61</v>
      </c>
      <c r="B13" s="76">
        <v>45526</v>
      </c>
      <c r="C13" s="76" t="b">
        <f t="shared" si="0"/>
        <v>1</v>
      </c>
      <c r="D13" s="2" t="s">
        <v>63</v>
      </c>
      <c r="E13" s="2">
        <v>74</v>
      </c>
      <c r="F13" s="2" t="s">
        <v>26</v>
      </c>
      <c r="G13" s="2" t="s">
        <v>16</v>
      </c>
      <c r="H13" s="2" t="s">
        <v>17</v>
      </c>
      <c r="I13" s="2" t="s">
        <v>64</v>
      </c>
      <c r="J13" s="2" t="s">
        <v>65</v>
      </c>
      <c r="K13" s="9" t="s">
        <v>31</v>
      </c>
      <c r="L13" s="2">
        <v>11</v>
      </c>
      <c r="M13" s="4">
        <v>15715.37</v>
      </c>
      <c r="N13" s="5">
        <v>74</v>
      </c>
    </row>
    <row r="14" spans="1:14" ht="15" customHeight="1" x14ac:dyDescent="0.45">
      <c r="A14" s="6" t="s">
        <v>66</v>
      </c>
      <c r="B14" s="76">
        <v>45404</v>
      </c>
      <c r="C14" s="76" t="b">
        <f t="shared" si="0"/>
        <v>1</v>
      </c>
      <c r="D14" s="6" t="s">
        <v>67</v>
      </c>
      <c r="E14" s="6">
        <v>43</v>
      </c>
      <c r="F14" s="6" t="s">
        <v>26</v>
      </c>
      <c r="G14" s="6" t="s">
        <v>68</v>
      </c>
      <c r="H14" s="6" t="s">
        <v>57</v>
      </c>
      <c r="I14" s="6" t="s">
        <v>46</v>
      </c>
      <c r="J14" s="6" t="s">
        <v>47</v>
      </c>
      <c r="K14" s="12" t="s">
        <v>58</v>
      </c>
      <c r="L14" s="6">
        <v>6</v>
      </c>
      <c r="M14" s="7">
        <v>79799.429999999993</v>
      </c>
      <c r="N14" s="8">
        <v>74</v>
      </c>
    </row>
    <row r="15" spans="1:14" ht="15" customHeight="1" x14ac:dyDescent="0.45">
      <c r="A15" s="2" t="s">
        <v>69</v>
      </c>
      <c r="B15" s="76">
        <v>45373</v>
      </c>
      <c r="C15" s="76" t="b">
        <f t="shared" si="0"/>
        <v>1</v>
      </c>
      <c r="D15" s="2" t="s">
        <v>70</v>
      </c>
      <c r="E15" s="2">
        <v>27</v>
      </c>
      <c r="F15" s="2" t="s">
        <v>15</v>
      </c>
      <c r="G15" s="2" t="s">
        <v>71</v>
      </c>
      <c r="H15" s="2" t="s">
        <v>17</v>
      </c>
      <c r="I15" s="2" t="s">
        <v>18</v>
      </c>
      <c r="J15" s="2" t="s">
        <v>19</v>
      </c>
      <c r="K15" s="12" t="s">
        <v>58</v>
      </c>
      <c r="L15" s="2">
        <v>11</v>
      </c>
      <c r="M15" s="4">
        <v>64405.95</v>
      </c>
      <c r="N15" s="5">
        <v>83</v>
      </c>
    </row>
    <row r="16" spans="1:14" ht="15" customHeight="1" x14ac:dyDescent="0.45">
      <c r="A16" s="6" t="s">
        <v>72</v>
      </c>
      <c r="B16" s="76">
        <v>45509</v>
      </c>
      <c r="C16" s="76" t="b">
        <f t="shared" si="0"/>
        <v>1</v>
      </c>
      <c r="D16" s="6" t="s">
        <v>74</v>
      </c>
      <c r="E16" s="6">
        <v>47</v>
      </c>
      <c r="F16" s="6" t="s">
        <v>15</v>
      </c>
      <c r="G16" s="6" t="s">
        <v>16</v>
      </c>
      <c r="H16" s="6" t="s">
        <v>28</v>
      </c>
      <c r="I16" s="6" t="s">
        <v>46</v>
      </c>
      <c r="J16" s="6" t="s">
        <v>47</v>
      </c>
      <c r="K16" s="3" t="s">
        <v>20</v>
      </c>
      <c r="L16" s="6">
        <v>9</v>
      </c>
      <c r="M16" s="7">
        <v>77830.880000000005</v>
      </c>
      <c r="N16" s="8">
        <v>97</v>
      </c>
    </row>
    <row r="17" spans="1:14" ht="15" customHeight="1" x14ac:dyDescent="0.45">
      <c r="A17" s="2" t="s">
        <v>75</v>
      </c>
      <c r="B17" s="76">
        <v>45573</v>
      </c>
      <c r="C17" s="76" t="b">
        <f t="shared" si="0"/>
        <v>1</v>
      </c>
      <c r="D17" s="2" t="s">
        <v>76</v>
      </c>
      <c r="E17" s="2">
        <v>25</v>
      </c>
      <c r="F17" s="2" t="s">
        <v>15</v>
      </c>
      <c r="G17" s="2" t="s">
        <v>16</v>
      </c>
      <c r="H17" s="2" t="s">
        <v>57</v>
      </c>
      <c r="I17" s="2" t="s">
        <v>77</v>
      </c>
      <c r="J17" s="2" t="s">
        <v>78</v>
      </c>
      <c r="K17" s="11" t="s">
        <v>50</v>
      </c>
      <c r="L17" s="2">
        <v>5</v>
      </c>
      <c r="M17" s="4">
        <v>16861.830000000002</v>
      </c>
      <c r="N17" s="5">
        <v>70</v>
      </c>
    </row>
    <row r="18" spans="1:14" ht="15" customHeight="1" x14ac:dyDescent="0.45">
      <c r="A18" s="6" t="s">
        <v>79</v>
      </c>
      <c r="B18" s="76">
        <v>45551</v>
      </c>
      <c r="C18" s="76" t="b">
        <f t="shared" si="0"/>
        <v>1</v>
      </c>
      <c r="D18" s="6" t="s">
        <v>80</v>
      </c>
      <c r="E18" s="6">
        <v>71</v>
      </c>
      <c r="F18" s="6" t="s">
        <v>15</v>
      </c>
      <c r="G18" s="6" t="s">
        <v>16</v>
      </c>
      <c r="H18" s="6" t="s">
        <v>35</v>
      </c>
      <c r="I18" s="6" t="s">
        <v>40</v>
      </c>
      <c r="J18" s="6" t="s">
        <v>41</v>
      </c>
      <c r="K18" s="11" t="s">
        <v>50</v>
      </c>
      <c r="L18" s="6">
        <v>11</v>
      </c>
      <c r="M18" s="7">
        <v>50672.77</v>
      </c>
      <c r="N18" s="8">
        <v>74</v>
      </c>
    </row>
    <row r="19" spans="1:14" ht="15" customHeight="1" x14ac:dyDescent="0.45">
      <c r="A19" s="2" t="s">
        <v>81</v>
      </c>
      <c r="B19" s="76">
        <v>45482</v>
      </c>
      <c r="C19" s="76" t="b">
        <f t="shared" si="0"/>
        <v>1</v>
      </c>
      <c r="D19" s="2" t="s">
        <v>82</v>
      </c>
      <c r="E19" s="2">
        <v>56</v>
      </c>
      <c r="F19" s="2" t="s">
        <v>26</v>
      </c>
      <c r="G19" s="2" t="s">
        <v>45</v>
      </c>
      <c r="H19" s="2" t="s">
        <v>57</v>
      </c>
      <c r="I19" s="2" t="s">
        <v>23</v>
      </c>
      <c r="J19" s="2" t="s">
        <v>24</v>
      </c>
      <c r="K19" s="11" t="s">
        <v>50</v>
      </c>
      <c r="L19" s="2">
        <v>6</v>
      </c>
      <c r="M19" s="4">
        <v>6460.76</v>
      </c>
      <c r="N19" s="5">
        <v>99</v>
      </c>
    </row>
    <row r="20" spans="1:14" ht="15" customHeight="1" x14ac:dyDescent="0.45">
      <c r="A20" s="6" t="s">
        <v>83</v>
      </c>
      <c r="B20" s="76">
        <v>45567</v>
      </c>
      <c r="C20" s="76" t="b">
        <f t="shared" si="0"/>
        <v>1</v>
      </c>
      <c r="D20" s="6" t="s">
        <v>85</v>
      </c>
      <c r="E20" s="6">
        <v>74</v>
      </c>
      <c r="F20" s="6" t="s">
        <v>15</v>
      </c>
      <c r="G20" s="6" t="s">
        <v>45</v>
      </c>
      <c r="H20" s="6" t="s">
        <v>17</v>
      </c>
      <c r="I20" s="6" t="s">
        <v>29</v>
      </c>
      <c r="J20" s="6" t="s">
        <v>30</v>
      </c>
      <c r="K20" s="3" t="s">
        <v>20</v>
      </c>
      <c r="L20" s="6">
        <v>10</v>
      </c>
      <c r="M20" s="7">
        <v>11424.01</v>
      </c>
      <c r="N20" s="8">
        <v>85</v>
      </c>
    </row>
    <row r="21" spans="1:14" ht="15" customHeight="1" x14ac:dyDescent="0.45">
      <c r="A21" s="2" t="s">
        <v>86</v>
      </c>
      <c r="B21" s="76">
        <v>45562</v>
      </c>
      <c r="C21" s="76" t="b">
        <f t="shared" si="0"/>
        <v>1</v>
      </c>
      <c r="D21" s="2" t="s">
        <v>87</v>
      </c>
      <c r="E21" s="2">
        <v>28</v>
      </c>
      <c r="F21" s="2" t="s">
        <v>15</v>
      </c>
      <c r="G21" s="2" t="s">
        <v>27</v>
      </c>
      <c r="H21" s="2" t="s">
        <v>17</v>
      </c>
      <c r="I21" s="2" t="s">
        <v>88</v>
      </c>
      <c r="J21" s="2" t="s">
        <v>89</v>
      </c>
      <c r="K21" s="9" t="s">
        <v>31</v>
      </c>
      <c r="L21" s="2">
        <v>5</v>
      </c>
      <c r="M21" s="4">
        <v>70432.479999999996</v>
      </c>
      <c r="N21" s="5">
        <v>83</v>
      </c>
    </row>
    <row r="22" spans="1:14" ht="15" customHeight="1" x14ac:dyDescent="0.45">
      <c r="A22" s="6" t="s">
        <v>90</v>
      </c>
      <c r="B22" s="76">
        <v>45523</v>
      </c>
      <c r="C22" s="76" t="b">
        <f t="shared" si="0"/>
        <v>1</v>
      </c>
      <c r="D22" s="6" t="s">
        <v>92</v>
      </c>
      <c r="E22" s="6">
        <v>46</v>
      </c>
      <c r="F22" s="6" t="s">
        <v>26</v>
      </c>
      <c r="G22" s="6" t="s">
        <v>68</v>
      </c>
      <c r="H22" s="6" t="s">
        <v>35</v>
      </c>
      <c r="I22" s="6" t="s">
        <v>77</v>
      </c>
      <c r="J22" s="6" t="s">
        <v>78</v>
      </c>
      <c r="K22" s="3" t="s">
        <v>20</v>
      </c>
      <c r="L22" s="6">
        <v>9</v>
      </c>
      <c r="M22" s="7">
        <v>14075.31</v>
      </c>
      <c r="N22" s="8">
        <v>77</v>
      </c>
    </row>
    <row r="23" spans="1:14" ht="15" customHeight="1" x14ac:dyDescent="0.45">
      <c r="A23" s="2" t="s">
        <v>93</v>
      </c>
      <c r="B23" s="76">
        <v>45404</v>
      </c>
      <c r="C23" s="76" t="b">
        <f t="shared" si="0"/>
        <v>1</v>
      </c>
      <c r="D23" s="2" t="s">
        <v>94</v>
      </c>
      <c r="E23" s="2">
        <v>32</v>
      </c>
      <c r="F23" s="2" t="s">
        <v>15</v>
      </c>
      <c r="G23" s="2" t="s">
        <v>68</v>
      </c>
      <c r="H23" s="2" t="s">
        <v>57</v>
      </c>
      <c r="I23" s="2" t="s">
        <v>88</v>
      </c>
      <c r="J23" s="2" t="s">
        <v>89</v>
      </c>
      <c r="K23" s="3" t="s">
        <v>20</v>
      </c>
      <c r="L23" s="2">
        <v>10</v>
      </c>
      <c r="M23" s="4">
        <v>5539.31</v>
      </c>
      <c r="N23" s="5">
        <v>92</v>
      </c>
    </row>
    <row r="24" spans="1:14" ht="15" customHeight="1" x14ac:dyDescent="0.45">
      <c r="A24" s="6" t="s">
        <v>95</v>
      </c>
      <c r="B24" s="76">
        <v>45296</v>
      </c>
      <c r="C24" s="76" t="b">
        <f t="shared" si="0"/>
        <v>1</v>
      </c>
      <c r="D24" s="6" t="s">
        <v>97</v>
      </c>
      <c r="E24" s="6">
        <v>22</v>
      </c>
      <c r="F24" s="6" t="s">
        <v>15</v>
      </c>
      <c r="G24" s="6" t="s">
        <v>16</v>
      </c>
      <c r="H24" s="6" t="s">
        <v>35</v>
      </c>
      <c r="I24" s="6" t="s">
        <v>77</v>
      </c>
      <c r="J24" s="6" t="s">
        <v>78</v>
      </c>
      <c r="K24" s="9" t="s">
        <v>31</v>
      </c>
      <c r="L24" s="6">
        <v>9</v>
      </c>
      <c r="M24" s="7">
        <v>25885.79</v>
      </c>
      <c r="N24" s="8">
        <v>85</v>
      </c>
    </row>
    <row r="25" spans="1:14" ht="15" customHeight="1" x14ac:dyDescent="0.45">
      <c r="A25" s="2" t="s">
        <v>98</v>
      </c>
      <c r="B25" s="76">
        <v>45534</v>
      </c>
      <c r="C25" s="76" t="b">
        <f t="shared" si="0"/>
        <v>1</v>
      </c>
      <c r="D25" s="2" t="s">
        <v>100</v>
      </c>
      <c r="E25" s="2">
        <v>33</v>
      </c>
      <c r="F25" s="2" t="s">
        <v>15</v>
      </c>
      <c r="G25" s="2" t="s">
        <v>71</v>
      </c>
      <c r="H25" s="2" t="s">
        <v>28</v>
      </c>
      <c r="I25" s="2" t="s">
        <v>101</v>
      </c>
      <c r="J25" s="2" t="s">
        <v>102</v>
      </c>
      <c r="K25" s="3" t="s">
        <v>20</v>
      </c>
      <c r="L25" s="2">
        <v>13</v>
      </c>
      <c r="M25" s="4">
        <v>65562.27</v>
      </c>
      <c r="N25" s="5">
        <v>76</v>
      </c>
    </row>
    <row r="26" spans="1:14" ht="15" customHeight="1" x14ac:dyDescent="0.45">
      <c r="A26" s="6" t="s">
        <v>103</v>
      </c>
      <c r="B26" s="76">
        <v>45319</v>
      </c>
      <c r="C26" s="76" t="b">
        <f t="shared" si="0"/>
        <v>1</v>
      </c>
      <c r="D26" s="6" t="s">
        <v>104</v>
      </c>
      <c r="E26" s="6">
        <v>44</v>
      </c>
      <c r="F26" s="6" t="s">
        <v>15</v>
      </c>
      <c r="G26" s="6" t="s">
        <v>71</v>
      </c>
      <c r="H26" s="6" t="s">
        <v>28</v>
      </c>
      <c r="I26" s="6" t="s">
        <v>64</v>
      </c>
      <c r="J26" s="6" t="s">
        <v>65</v>
      </c>
      <c r="K26" s="3" t="s">
        <v>20</v>
      </c>
      <c r="L26" s="6">
        <v>8</v>
      </c>
      <c r="M26" s="7">
        <v>55502.34</v>
      </c>
      <c r="N26" s="8">
        <v>90</v>
      </c>
    </row>
    <row r="27" spans="1:14" ht="15" customHeight="1" x14ac:dyDescent="0.45">
      <c r="A27" s="2" t="s">
        <v>105</v>
      </c>
      <c r="B27" s="76">
        <v>45477</v>
      </c>
      <c r="C27" s="76" t="b">
        <f t="shared" si="0"/>
        <v>1</v>
      </c>
      <c r="D27" s="2" t="s">
        <v>107</v>
      </c>
      <c r="E27" s="2">
        <v>33</v>
      </c>
      <c r="F27" s="2" t="s">
        <v>15</v>
      </c>
      <c r="G27" s="2" t="s">
        <v>27</v>
      </c>
      <c r="H27" s="2" t="s">
        <v>17</v>
      </c>
      <c r="I27" s="2" t="s">
        <v>18</v>
      </c>
      <c r="J27" s="2" t="s">
        <v>19</v>
      </c>
      <c r="K27" s="10" t="s">
        <v>42</v>
      </c>
      <c r="L27" s="2">
        <v>4</v>
      </c>
      <c r="M27" s="4">
        <v>45221.43</v>
      </c>
      <c r="N27" s="5">
        <v>74</v>
      </c>
    </row>
    <row r="28" spans="1:14" ht="15" customHeight="1" x14ac:dyDescent="0.45">
      <c r="A28" s="6" t="s">
        <v>108</v>
      </c>
      <c r="B28" s="76">
        <v>45518</v>
      </c>
      <c r="C28" s="76" t="b">
        <f t="shared" si="0"/>
        <v>1</v>
      </c>
      <c r="D28" s="6" t="s">
        <v>109</v>
      </c>
      <c r="E28" s="6">
        <v>73</v>
      </c>
      <c r="F28" s="6" t="s">
        <v>15</v>
      </c>
      <c r="G28" s="6" t="s">
        <v>68</v>
      </c>
      <c r="H28" s="6" t="s">
        <v>35</v>
      </c>
      <c r="I28" s="6" t="s">
        <v>29</v>
      </c>
      <c r="J28" s="6" t="s">
        <v>30</v>
      </c>
      <c r="K28" s="12" t="s">
        <v>58</v>
      </c>
      <c r="L28" s="6">
        <v>2</v>
      </c>
      <c r="M28" s="7">
        <v>65601.67</v>
      </c>
      <c r="N28" s="8">
        <v>97</v>
      </c>
    </row>
    <row r="29" spans="1:14" ht="15" customHeight="1" x14ac:dyDescent="0.45">
      <c r="A29" s="2" t="s">
        <v>110</v>
      </c>
      <c r="B29" s="76">
        <v>45296</v>
      </c>
      <c r="C29" s="76" t="b">
        <f t="shared" si="0"/>
        <v>1</v>
      </c>
      <c r="D29" s="2" t="s">
        <v>111</v>
      </c>
      <c r="E29" s="2">
        <v>80</v>
      </c>
      <c r="F29" s="2" t="s">
        <v>15</v>
      </c>
      <c r="G29" s="2" t="s">
        <v>71</v>
      </c>
      <c r="H29" s="2" t="s">
        <v>57</v>
      </c>
      <c r="I29" s="2" t="s">
        <v>23</v>
      </c>
      <c r="J29" s="2" t="s">
        <v>24</v>
      </c>
      <c r="K29" s="10" t="s">
        <v>42</v>
      </c>
      <c r="L29" s="2">
        <v>2</v>
      </c>
      <c r="M29" s="4">
        <v>17473.330000000002</v>
      </c>
      <c r="N29" s="5">
        <v>85</v>
      </c>
    </row>
    <row r="30" spans="1:14" ht="15" customHeight="1" x14ac:dyDescent="0.45">
      <c r="A30" s="6" t="s">
        <v>112</v>
      </c>
      <c r="B30" s="76">
        <v>45491</v>
      </c>
      <c r="C30" s="76" t="b">
        <f t="shared" si="0"/>
        <v>1</v>
      </c>
      <c r="D30" s="6" t="s">
        <v>113</v>
      </c>
      <c r="E30" s="6">
        <v>42</v>
      </c>
      <c r="F30" s="6" t="s">
        <v>26</v>
      </c>
      <c r="G30" s="6" t="s">
        <v>71</v>
      </c>
      <c r="H30" s="6" t="s">
        <v>35</v>
      </c>
      <c r="I30" s="6" t="s">
        <v>36</v>
      </c>
      <c r="J30" s="6" t="s">
        <v>37</v>
      </c>
      <c r="K30" s="10" t="s">
        <v>42</v>
      </c>
      <c r="L30" s="6">
        <v>1</v>
      </c>
      <c r="M30" s="7">
        <v>24890.23</v>
      </c>
      <c r="N30" s="8">
        <v>95</v>
      </c>
    </row>
    <row r="31" spans="1:14" ht="15" customHeight="1" x14ac:dyDescent="0.45">
      <c r="A31" s="2" t="s">
        <v>114</v>
      </c>
      <c r="B31" s="76">
        <v>45443</v>
      </c>
      <c r="C31" s="76" t="b">
        <f t="shared" si="0"/>
        <v>1</v>
      </c>
      <c r="D31" s="2" t="s">
        <v>115</v>
      </c>
      <c r="E31" s="2">
        <v>27</v>
      </c>
      <c r="F31" s="2" t="s">
        <v>15</v>
      </c>
      <c r="G31" s="2" t="s">
        <v>27</v>
      </c>
      <c r="H31" s="2" t="s">
        <v>57</v>
      </c>
      <c r="I31" s="2" t="s">
        <v>101</v>
      </c>
      <c r="J31" s="2" t="s">
        <v>102</v>
      </c>
      <c r="K31" s="12" t="s">
        <v>58</v>
      </c>
      <c r="L31" s="2">
        <v>4</v>
      </c>
      <c r="M31" s="4">
        <v>21327.57</v>
      </c>
      <c r="N31" s="5">
        <v>71</v>
      </c>
    </row>
    <row r="32" spans="1:14" ht="15" customHeight="1" x14ac:dyDescent="0.45">
      <c r="A32" s="6" t="s">
        <v>116</v>
      </c>
      <c r="B32" s="76">
        <v>45549</v>
      </c>
      <c r="C32" s="76" t="b">
        <f t="shared" si="0"/>
        <v>1</v>
      </c>
      <c r="D32" s="6" t="s">
        <v>118</v>
      </c>
      <c r="E32" s="6">
        <v>55</v>
      </c>
      <c r="F32" s="6" t="s">
        <v>15</v>
      </c>
      <c r="G32" s="6" t="s">
        <v>16</v>
      </c>
      <c r="H32" s="6" t="s">
        <v>57</v>
      </c>
      <c r="I32" s="6" t="s">
        <v>23</v>
      </c>
      <c r="J32" s="6" t="s">
        <v>24</v>
      </c>
      <c r="K32" s="9" t="s">
        <v>31</v>
      </c>
      <c r="L32" s="6">
        <v>8</v>
      </c>
      <c r="M32" s="7">
        <v>73954.03</v>
      </c>
      <c r="N32" s="8">
        <v>86</v>
      </c>
    </row>
    <row r="33" spans="1:14" ht="15" customHeight="1" x14ac:dyDescent="0.45">
      <c r="A33" s="2" t="s">
        <v>119</v>
      </c>
      <c r="B33" s="76">
        <v>45384</v>
      </c>
      <c r="C33" s="76" t="b">
        <f t="shared" si="0"/>
        <v>1</v>
      </c>
      <c r="D33" s="2" t="s">
        <v>120</v>
      </c>
      <c r="E33" s="2">
        <v>22</v>
      </c>
      <c r="F33" s="2" t="s">
        <v>15</v>
      </c>
      <c r="G33" s="2" t="s">
        <v>16</v>
      </c>
      <c r="H33" s="2" t="s">
        <v>54</v>
      </c>
      <c r="I33" s="2" t="s">
        <v>36</v>
      </c>
      <c r="J33" s="2" t="s">
        <v>37</v>
      </c>
      <c r="K33" s="10" t="s">
        <v>42</v>
      </c>
      <c r="L33" s="2">
        <v>10</v>
      </c>
      <c r="M33" s="4">
        <v>55640.94</v>
      </c>
      <c r="N33" s="5">
        <v>77</v>
      </c>
    </row>
    <row r="34" spans="1:14" ht="15" customHeight="1" x14ac:dyDescent="0.45">
      <c r="A34" s="6" t="s">
        <v>121</v>
      </c>
      <c r="B34" s="76">
        <v>45609</v>
      </c>
      <c r="C34" s="76" t="b">
        <f t="shared" si="0"/>
        <v>1</v>
      </c>
      <c r="D34" s="6" t="s">
        <v>122</v>
      </c>
      <c r="E34" s="6">
        <v>56</v>
      </c>
      <c r="F34" s="6" t="s">
        <v>26</v>
      </c>
      <c r="G34" s="6" t="s">
        <v>27</v>
      </c>
      <c r="H34" s="6" t="s">
        <v>54</v>
      </c>
      <c r="I34" s="6" t="s">
        <v>46</v>
      </c>
      <c r="J34" s="6" t="s">
        <v>47</v>
      </c>
      <c r="K34" s="12" t="s">
        <v>58</v>
      </c>
      <c r="L34" s="6">
        <v>1</v>
      </c>
      <c r="M34" s="7">
        <v>11148.76</v>
      </c>
      <c r="N34" s="8">
        <v>91</v>
      </c>
    </row>
    <row r="35" spans="1:14" ht="15" customHeight="1" x14ac:dyDescent="0.45">
      <c r="A35" s="2" t="s">
        <v>123</v>
      </c>
      <c r="B35" s="76">
        <v>45494</v>
      </c>
      <c r="C35" s="76" t="b">
        <f t="shared" ref="C35:C66" si="1">ISNUMBER(B35)</f>
        <v>1</v>
      </c>
      <c r="D35" s="2" t="s">
        <v>125</v>
      </c>
      <c r="E35" s="2">
        <v>33</v>
      </c>
      <c r="F35" s="2" t="s">
        <v>26</v>
      </c>
      <c r="G35" s="2" t="s">
        <v>27</v>
      </c>
      <c r="H35" s="2" t="s">
        <v>57</v>
      </c>
      <c r="I35" s="2" t="s">
        <v>77</v>
      </c>
      <c r="J35" s="2" t="s">
        <v>78</v>
      </c>
      <c r="K35" s="11" t="s">
        <v>50</v>
      </c>
      <c r="L35" s="2">
        <v>5</v>
      </c>
      <c r="M35" s="4">
        <v>14815.87</v>
      </c>
      <c r="N35" s="5">
        <v>90</v>
      </c>
    </row>
    <row r="36" spans="1:14" ht="15" customHeight="1" x14ac:dyDescent="0.45">
      <c r="A36" s="6" t="s">
        <v>126</v>
      </c>
      <c r="B36" s="76">
        <v>45580</v>
      </c>
      <c r="C36" s="76" t="b">
        <f t="shared" si="1"/>
        <v>1</v>
      </c>
      <c r="D36" s="6" t="s">
        <v>128</v>
      </c>
      <c r="E36" s="6">
        <v>47</v>
      </c>
      <c r="F36" s="6" t="s">
        <v>15</v>
      </c>
      <c r="G36" s="6" t="s">
        <v>16</v>
      </c>
      <c r="H36" s="6" t="s">
        <v>28</v>
      </c>
      <c r="I36" s="6" t="s">
        <v>23</v>
      </c>
      <c r="J36" s="6" t="s">
        <v>24</v>
      </c>
      <c r="K36" s="12" t="s">
        <v>58</v>
      </c>
      <c r="L36" s="6">
        <v>10</v>
      </c>
      <c r="M36" s="7">
        <v>79707.23</v>
      </c>
      <c r="N36" s="8">
        <v>72</v>
      </c>
    </row>
    <row r="37" spans="1:14" ht="15" customHeight="1" x14ac:dyDescent="0.45">
      <c r="A37" s="2" t="s">
        <v>129</v>
      </c>
      <c r="B37" s="76">
        <v>45414</v>
      </c>
      <c r="C37" s="76" t="b">
        <f t="shared" si="1"/>
        <v>1</v>
      </c>
      <c r="D37" s="2" t="s">
        <v>130</v>
      </c>
      <c r="E37" s="2">
        <v>77</v>
      </c>
      <c r="F37" s="2" t="s">
        <v>15</v>
      </c>
      <c r="G37" s="2" t="s">
        <v>71</v>
      </c>
      <c r="H37" s="2" t="s">
        <v>35</v>
      </c>
      <c r="I37" s="2" t="s">
        <v>36</v>
      </c>
      <c r="J37" s="2" t="s">
        <v>37</v>
      </c>
      <c r="K37" s="11" t="s">
        <v>50</v>
      </c>
      <c r="L37" s="2">
        <v>6</v>
      </c>
      <c r="M37" s="4">
        <v>70945.27</v>
      </c>
      <c r="N37" s="5">
        <v>81</v>
      </c>
    </row>
    <row r="38" spans="1:14" ht="15" customHeight="1" x14ac:dyDescent="0.45">
      <c r="A38" s="6" t="s">
        <v>131</v>
      </c>
      <c r="B38" s="76">
        <v>45626</v>
      </c>
      <c r="C38" s="76" t="b">
        <f t="shared" si="1"/>
        <v>1</v>
      </c>
      <c r="D38" s="6" t="s">
        <v>133</v>
      </c>
      <c r="E38" s="6">
        <v>57</v>
      </c>
      <c r="F38" s="6" t="s">
        <v>26</v>
      </c>
      <c r="G38" s="6" t="s">
        <v>68</v>
      </c>
      <c r="H38" s="6" t="s">
        <v>54</v>
      </c>
      <c r="I38" s="6" t="s">
        <v>40</v>
      </c>
      <c r="J38" s="6" t="s">
        <v>41</v>
      </c>
      <c r="K38" s="12" t="s">
        <v>58</v>
      </c>
      <c r="L38" s="6">
        <v>13</v>
      </c>
      <c r="M38" s="7">
        <v>44670.55</v>
      </c>
      <c r="N38" s="8">
        <v>91</v>
      </c>
    </row>
    <row r="39" spans="1:14" ht="15" customHeight="1" x14ac:dyDescent="0.45">
      <c r="A39" s="2" t="s">
        <v>134</v>
      </c>
      <c r="B39" s="76">
        <v>45575</v>
      </c>
      <c r="C39" s="76" t="b">
        <f t="shared" si="1"/>
        <v>1</v>
      </c>
      <c r="D39" s="2" t="s">
        <v>135</v>
      </c>
      <c r="E39" s="2">
        <v>25</v>
      </c>
      <c r="F39" s="2" t="s">
        <v>15</v>
      </c>
      <c r="G39" s="2" t="s">
        <v>27</v>
      </c>
      <c r="H39" s="2" t="s">
        <v>54</v>
      </c>
      <c r="I39" s="2" t="s">
        <v>40</v>
      </c>
      <c r="J39" s="2" t="s">
        <v>41</v>
      </c>
      <c r="K39" s="12" t="s">
        <v>58</v>
      </c>
      <c r="L39" s="2">
        <v>2</v>
      </c>
      <c r="M39" s="4">
        <v>16658.59</v>
      </c>
      <c r="N39" s="5">
        <v>79</v>
      </c>
    </row>
    <row r="40" spans="1:14" ht="15" customHeight="1" x14ac:dyDescent="0.45">
      <c r="A40" s="6" t="s">
        <v>136</v>
      </c>
      <c r="B40" s="76">
        <v>45509</v>
      </c>
      <c r="C40" s="76" t="b">
        <f t="shared" si="1"/>
        <v>1</v>
      </c>
      <c r="D40" s="6" t="s">
        <v>137</v>
      </c>
      <c r="E40" s="6">
        <v>50</v>
      </c>
      <c r="F40" s="6" t="s">
        <v>15</v>
      </c>
      <c r="G40" s="6" t="s">
        <v>71</v>
      </c>
      <c r="H40" s="6" t="s">
        <v>28</v>
      </c>
      <c r="I40" s="6" t="s">
        <v>40</v>
      </c>
      <c r="J40" s="6" t="s">
        <v>41</v>
      </c>
      <c r="K40" s="3" t="s">
        <v>20</v>
      </c>
      <c r="L40" s="6">
        <v>8</v>
      </c>
      <c r="M40" s="7">
        <v>72900.240000000005</v>
      </c>
      <c r="N40" s="8">
        <v>97</v>
      </c>
    </row>
    <row r="41" spans="1:14" ht="15" customHeight="1" x14ac:dyDescent="0.45">
      <c r="A41" s="2" t="s">
        <v>138</v>
      </c>
      <c r="B41" s="76">
        <v>45476</v>
      </c>
      <c r="C41" s="76" t="b">
        <f t="shared" si="1"/>
        <v>1</v>
      </c>
      <c r="D41" s="2" t="s">
        <v>140</v>
      </c>
      <c r="E41" s="2">
        <v>18</v>
      </c>
      <c r="F41" s="2" t="s">
        <v>26</v>
      </c>
      <c r="G41" s="2" t="s">
        <v>16</v>
      </c>
      <c r="H41" s="2" t="s">
        <v>17</v>
      </c>
      <c r="I41" s="2" t="s">
        <v>23</v>
      </c>
      <c r="J41" s="2" t="s">
        <v>24</v>
      </c>
      <c r="K41" s="9" t="s">
        <v>31</v>
      </c>
      <c r="L41" s="2">
        <v>6</v>
      </c>
      <c r="M41" s="4">
        <v>52783.5</v>
      </c>
      <c r="N41" s="5">
        <v>78</v>
      </c>
    </row>
    <row r="42" spans="1:14" ht="15" customHeight="1" x14ac:dyDescent="0.45">
      <c r="A42" s="6" t="s">
        <v>141</v>
      </c>
      <c r="B42" s="76">
        <v>45506</v>
      </c>
      <c r="C42" s="76" t="b">
        <f t="shared" si="1"/>
        <v>1</v>
      </c>
      <c r="D42" s="6" t="s">
        <v>84</v>
      </c>
      <c r="E42" s="6">
        <v>18</v>
      </c>
      <c r="F42" s="6" t="s">
        <v>15</v>
      </c>
      <c r="G42" s="6" t="s">
        <v>27</v>
      </c>
      <c r="H42" s="6" t="s">
        <v>35</v>
      </c>
      <c r="I42" s="6" t="s">
        <v>88</v>
      </c>
      <c r="J42" s="6" t="s">
        <v>89</v>
      </c>
      <c r="K42" s="9" t="s">
        <v>31</v>
      </c>
      <c r="L42" s="6">
        <v>2</v>
      </c>
      <c r="M42" s="7">
        <v>75878.820000000007</v>
      </c>
      <c r="N42" s="8">
        <v>92</v>
      </c>
    </row>
    <row r="43" spans="1:14" ht="15" customHeight="1" x14ac:dyDescent="0.45">
      <c r="A43" s="2" t="s">
        <v>142</v>
      </c>
      <c r="B43" s="76">
        <v>45446</v>
      </c>
      <c r="C43" s="76" t="b">
        <f t="shared" si="1"/>
        <v>1</v>
      </c>
      <c r="D43" s="2" t="s">
        <v>140</v>
      </c>
      <c r="E43" s="2">
        <v>27</v>
      </c>
      <c r="F43" s="2" t="s">
        <v>26</v>
      </c>
      <c r="G43" s="2" t="s">
        <v>45</v>
      </c>
      <c r="H43" s="2" t="s">
        <v>54</v>
      </c>
      <c r="I43" s="2" t="s">
        <v>88</v>
      </c>
      <c r="J43" s="2" t="s">
        <v>89</v>
      </c>
      <c r="K43" s="3" t="s">
        <v>20</v>
      </c>
      <c r="L43" s="2">
        <v>7</v>
      </c>
      <c r="M43" s="4">
        <v>8137.16</v>
      </c>
      <c r="N43" s="5">
        <v>81</v>
      </c>
    </row>
    <row r="44" spans="1:14" ht="15" customHeight="1" x14ac:dyDescent="0.45">
      <c r="A44" s="6" t="s">
        <v>143</v>
      </c>
      <c r="B44" s="76">
        <v>45578</v>
      </c>
      <c r="C44" s="76" t="b">
        <f t="shared" si="1"/>
        <v>1</v>
      </c>
      <c r="D44" s="6" t="s">
        <v>144</v>
      </c>
      <c r="E44" s="6">
        <v>40</v>
      </c>
      <c r="F44" s="6" t="s">
        <v>15</v>
      </c>
      <c r="G44" s="6" t="s">
        <v>45</v>
      </c>
      <c r="H44" s="6" t="s">
        <v>54</v>
      </c>
      <c r="I44" s="6" t="s">
        <v>18</v>
      </c>
      <c r="J44" s="6" t="s">
        <v>19</v>
      </c>
      <c r="K44" s="12" t="s">
        <v>58</v>
      </c>
      <c r="L44" s="6">
        <v>13</v>
      </c>
      <c r="M44" s="7">
        <v>71310.100000000006</v>
      </c>
      <c r="N44" s="8">
        <v>83</v>
      </c>
    </row>
    <row r="45" spans="1:14" ht="15" customHeight="1" x14ac:dyDescent="0.45">
      <c r="A45" s="2" t="s">
        <v>145</v>
      </c>
      <c r="B45" s="76">
        <v>45304</v>
      </c>
      <c r="C45" s="76" t="b">
        <f t="shared" si="1"/>
        <v>1</v>
      </c>
      <c r="D45" s="2" t="s">
        <v>146</v>
      </c>
      <c r="E45" s="2">
        <v>74</v>
      </c>
      <c r="F45" s="2" t="s">
        <v>26</v>
      </c>
      <c r="G45" s="2" t="s">
        <v>45</v>
      </c>
      <c r="H45" s="2" t="s">
        <v>28</v>
      </c>
      <c r="I45" s="2" t="s">
        <v>36</v>
      </c>
      <c r="J45" s="2" t="s">
        <v>37</v>
      </c>
      <c r="K45" s="11" t="s">
        <v>50</v>
      </c>
      <c r="L45" s="2">
        <v>7</v>
      </c>
      <c r="M45" s="4">
        <v>18452.05</v>
      </c>
      <c r="N45" s="5">
        <v>99</v>
      </c>
    </row>
    <row r="46" spans="1:14" ht="15" customHeight="1" x14ac:dyDescent="0.45">
      <c r="A46" s="6" t="s">
        <v>147</v>
      </c>
      <c r="B46" s="76">
        <v>45347</v>
      </c>
      <c r="C46" s="76" t="b">
        <f t="shared" si="1"/>
        <v>1</v>
      </c>
      <c r="D46" s="6" t="s">
        <v>148</v>
      </c>
      <c r="E46" s="6">
        <v>68</v>
      </c>
      <c r="F46" s="6" t="s">
        <v>15</v>
      </c>
      <c r="G46" s="6" t="s">
        <v>45</v>
      </c>
      <c r="H46" s="6" t="s">
        <v>17</v>
      </c>
      <c r="I46" s="6" t="s">
        <v>36</v>
      </c>
      <c r="J46" s="6" t="s">
        <v>37</v>
      </c>
      <c r="K46" s="10" t="s">
        <v>42</v>
      </c>
      <c r="L46" s="6">
        <v>12</v>
      </c>
      <c r="M46" s="7">
        <v>33690.629999999997</v>
      </c>
      <c r="N46" s="8">
        <v>71</v>
      </c>
    </row>
    <row r="47" spans="1:14" ht="15" customHeight="1" x14ac:dyDescent="0.45">
      <c r="A47" s="2" t="s">
        <v>149</v>
      </c>
      <c r="B47" s="76">
        <v>45408</v>
      </c>
      <c r="C47" s="76" t="b">
        <f t="shared" si="1"/>
        <v>1</v>
      </c>
      <c r="D47" s="2" t="s">
        <v>97</v>
      </c>
      <c r="E47" s="2">
        <v>37</v>
      </c>
      <c r="F47" s="2" t="s">
        <v>26</v>
      </c>
      <c r="G47" s="2" t="s">
        <v>27</v>
      </c>
      <c r="H47" s="2" t="s">
        <v>28</v>
      </c>
      <c r="I47" s="2" t="s">
        <v>77</v>
      </c>
      <c r="J47" s="2" t="s">
        <v>78</v>
      </c>
      <c r="K47" s="9" t="s">
        <v>31</v>
      </c>
      <c r="L47" s="2">
        <v>14</v>
      </c>
      <c r="M47" s="4">
        <v>21719.27</v>
      </c>
      <c r="N47" s="5">
        <v>91</v>
      </c>
    </row>
    <row r="48" spans="1:14" ht="15" customHeight="1" x14ac:dyDescent="0.45">
      <c r="A48" s="6" t="s">
        <v>150</v>
      </c>
      <c r="B48" s="76">
        <v>45434</v>
      </c>
      <c r="C48" s="76" t="b">
        <f t="shared" si="1"/>
        <v>1</v>
      </c>
      <c r="D48" s="6" t="s">
        <v>115</v>
      </c>
      <c r="E48" s="6">
        <v>79</v>
      </c>
      <c r="F48" s="6" t="s">
        <v>26</v>
      </c>
      <c r="G48" s="6" t="s">
        <v>68</v>
      </c>
      <c r="H48" s="6" t="s">
        <v>57</v>
      </c>
      <c r="I48" s="6" t="s">
        <v>18</v>
      </c>
      <c r="J48" s="6" t="s">
        <v>19</v>
      </c>
      <c r="K48" s="10" t="s">
        <v>42</v>
      </c>
      <c r="L48" s="6">
        <v>13</v>
      </c>
      <c r="M48" s="7">
        <v>31335.96</v>
      </c>
      <c r="N48" s="8">
        <v>86</v>
      </c>
    </row>
    <row r="49" spans="1:14" ht="15" customHeight="1" x14ac:dyDescent="0.45">
      <c r="A49" s="2" t="s">
        <v>151</v>
      </c>
      <c r="B49" s="76">
        <v>45427</v>
      </c>
      <c r="C49" s="76" t="b">
        <f t="shared" si="1"/>
        <v>1</v>
      </c>
      <c r="D49" s="2" t="s">
        <v>56</v>
      </c>
      <c r="E49" s="2">
        <v>29</v>
      </c>
      <c r="F49" s="2" t="s">
        <v>26</v>
      </c>
      <c r="G49" s="2" t="s">
        <v>27</v>
      </c>
      <c r="H49" s="2" t="s">
        <v>17</v>
      </c>
      <c r="I49" s="2" t="s">
        <v>40</v>
      </c>
      <c r="J49" s="2" t="s">
        <v>41</v>
      </c>
      <c r="K49" s="10" t="s">
        <v>42</v>
      </c>
      <c r="L49" s="2">
        <v>10</v>
      </c>
      <c r="M49" s="4">
        <v>7869.29</v>
      </c>
      <c r="N49" s="5">
        <v>89</v>
      </c>
    </row>
    <row r="50" spans="1:14" ht="15" customHeight="1" x14ac:dyDescent="0.45">
      <c r="A50" s="6" t="s">
        <v>153</v>
      </c>
      <c r="B50" s="76">
        <v>45351</v>
      </c>
      <c r="C50" s="76" t="b">
        <f t="shared" si="1"/>
        <v>1</v>
      </c>
      <c r="D50" s="6" t="s">
        <v>154</v>
      </c>
      <c r="E50" s="6">
        <v>80</v>
      </c>
      <c r="F50" s="6" t="s">
        <v>26</v>
      </c>
      <c r="G50" s="6" t="s">
        <v>68</v>
      </c>
      <c r="H50" s="6" t="s">
        <v>17</v>
      </c>
      <c r="I50" s="6" t="s">
        <v>46</v>
      </c>
      <c r="J50" s="6" t="s">
        <v>47</v>
      </c>
      <c r="K50" s="9" t="s">
        <v>31</v>
      </c>
      <c r="L50" s="6">
        <v>9</v>
      </c>
      <c r="M50" s="7">
        <v>33889.660000000003</v>
      </c>
      <c r="N50" s="8">
        <v>88</v>
      </c>
    </row>
    <row r="51" spans="1:14" ht="15" customHeight="1" x14ac:dyDescent="0.45">
      <c r="A51" s="2" t="s">
        <v>155</v>
      </c>
      <c r="B51" s="76">
        <v>45332</v>
      </c>
      <c r="C51" s="76" t="b">
        <f t="shared" si="1"/>
        <v>1</v>
      </c>
      <c r="D51" s="2" t="s">
        <v>127</v>
      </c>
      <c r="E51" s="2">
        <v>51</v>
      </c>
      <c r="F51" s="2" t="s">
        <v>26</v>
      </c>
      <c r="G51" s="2" t="s">
        <v>71</v>
      </c>
      <c r="H51" s="2" t="s">
        <v>57</v>
      </c>
      <c r="I51" s="2" t="s">
        <v>23</v>
      </c>
      <c r="J51" s="2" t="s">
        <v>24</v>
      </c>
      <c r="K51" s="9" t="s">
        <v>31</v>
      </c>
      <c r="L51" s="2">
        <v>13</v>
      </c>
      <c r="M51" s="4">
        <v>56514.29</v>
      </c>
      <c r="N51" s="5">
        <v>100</v>
      </c>
    </row>
    <row r="52" spans="1:14" ht="15" customHeight="1" x14ac:dyDescent="0.45">
      <c r="A52" s="6" t="s">
        <v>156</v>
      </c>
      <c r="B52" s="76">
        <v>45424</v>
      </c>
      <c r="C52" s="76" t="b">
        <f t="shared" si="1"/>
        <v>1</v>
      </c>
      <c r="D52" s="6" t="s">
        <v>157</v>
      </c>
      <c r="E52" s="6">
        <v>57</v>
      </c>
      <c r="F52" s="6" t="s">
        <v>26</v>
      </c>
      <c r="G52" s="6" t="s">
        <v>71</v>
      </c>
      <c r="H52" s="6" t="s">
        <v>28</v>
      </c>
      <c r="I52" s="6" t="s">
        <v>77</v>
      </c>
      <c r="J52" s="6" t="s">
        <v>78</v>
      </c>
      <c r="K52" s="11" t="s">
        <v>50</v>
      </c>
      <c r="L52" s="6">
        <v>6</v>
      </c>
      <c r="M52" s="7">
        <v>68601.149999999994</v>
      </c>
      <c r="N52" s="8">
        <v>93</v>
      </c>
    </row>
    <row r="53" spans="1:14" ht="15" customHeight="1" x14ac:dyDescent="0.45">
      <c r="A53" s="2" t="s">
        <v>158</v>
      </c>
      <c r="B53" s="76">
        <v>45575</v>
      </c>
      <c r="C53" s="76" t="b">
        <f t="shared" si="1"/>
        <v>1</v>
      </c>
      <c r="D53" s="2" t="s">
        <v>127</v>
      </c>
      <c r="E53" s="2">
        <v>62</v>
      </c>
      <c r="F53" s="2" t="s">
        <v>15</v>
      </c>
      <c r="G53" s="2" t="s">
        <v>16</v>
      </c>
      <c r="H53" s="2" t="s">
        <v>35</v>
      </c>
      <c r="I53" s="2" t="s">
        <v>64</v>
      </c>
      <c r="J53" s="2" t="s">
        <v>65</v>
      </c>
      <c r="K53" s="10" t="s">
        <v>42</v>
      </c>
      <c r="L53" s="2">
        <v>5</v>
      </c>
      <c r="M53" s="4">
        <v>14546.58</v>
      </c>
      <c r="N53" s="5">
        <v>83</v>
      </c>
    </row>
    <row r="54" spans="1:14" ht="15" customHeight="1" x14ac:dyDescent="0.45">
      <c r="A54" s="6" t="s">
        <v>159</v>
      </c>
      <c r="B54" s="76">
        <v>45292</v>
      </c>
      <c r="C54" s="76" t="b">
        <f t="shared" si="1"/>
        <v>1</v>
      </c>
      <c r="D54" s="6" t="s">
        <v>160</v>
      </c>
      <c r="E54" s="6">
        <v>43</v>
      </c>
      <c r="F54" s="6" t="s">
        <v>26</v>
      </c>
      <c r="G54" s="6" t="s">
        <v>71</v>
      </c>
      <c r="H54" s="6" t="s">
        <v>17</v>
      </c>
      <c r="I54" s="6" t="s">
        <v>40</v>
      </c>
      <c r="J54" s="6" t="s">
        <v>41</v>
      </c>
      <c r="K54" s="10" t="s">
        <v>42</v>
      </c>
      <c r="L54" s="6">
        <v>9</v>
      </c>
      <c r="M54" s="7">
        <v>27790.62</v>
      </c>
      <c r="N54" s="8">
        <v>76</v>
      </c>
    </row>
    <row r="55" spans="1:14" ht="15" customHeight="1" x14ac:dyDescent="0.45">
      <c r="A55" s="2" t="s">
        <v>161</v>
      </c>
      <c r="B55" s="76">
        <v>45553</v>
      </c>
      <c r="C55" s="76" t="b">
        <f t="shared" si="1"/>
        <v>1</v>
      </c>
      <c r="D55" s="2" t="s">
        <v>118</v>
      </c>
      <c r="E55" s="2">
        <v>61</v>
      </c>
      <c r="F55" s="2" t="s">
        <v>15</v>
      </c>
      <c r="G55" s="2" t="s">
        <v>27</v>
      </c>
      <c r="H55" s="2" t="s">
        <v>35</v>
      </c>
      <c r="I55" s="2" t="s">
        <v>101</v>
      </c>
      <c r="J55" s="2" t="s">
        <v>102</v>
      </c>
      <c r="K55" s="9" t="s">
        <v>31</v>
      </c>
      <c r="L55" s="2">
        <v>4</v>
      </c>
      <c r="M55" s="4">
        <v>40488.959999999999</v>
      </c>
      <c r="N55" s="5">
        <v>98</v>
      </c>
    </row>
    <row r="56" spans="1:14" ht="15" customHeight="1" x14ac:dyDescent="0.45">
      <c r="A56" s="6" t="s">
        <v>163</v>
      </c>
      <c r="B56" s="76">
        <v>45412</v>
      </c>
      <c r="C56" s="76" t="b">
        <f t="shared" si="1"/>
        <v>1</v>
      </c>
      <c r="D56" s="6" t="s">
        <v>94</v>
      </c>
      <c r="E56" s="6">
        <v>39</v>
      </c>
      <c r="F56" s="6" t="s">
        <v>15</v>
      </c>
      <c r="G56" s="6" t="s">
        <v>68</v>
      </c>
      <c r="H56" s="6" t="s">
        <v>57</v>
      </c>
      <c r="I56" s="6" t="s">
        <v>46</v>
      </c>
      <c r="J56" s="6" t="s">
        <v>47</v>
      </c>
      <c r="K56" s="9" t="s">
        <v>31</v>
      </c>
      <c r="L56" s="6">
        <v>2</v>
      </c>
      <c r="M56" s="7">
        <v>55459.68</v>
      </c>
      <c r="N56" s="8">
        <v>77</v>
      </c>
    </row>
    <row r="57" spans="1:14" ht="15" customHeight="1" x14ac:dyDescent="0.45">
      <c r="A57" s="2" t="s">
        <v>164</v>
      </c>
      <c r="B57" s="76">
        <v>45515</v>
      </c>
      <c r="C57" s="76" t="b">
        <f t="shared" si="1"/>
        <v>1</v>
      </c>
      <c r="D57" s="2" t="s">
        <v>165</v>
      </c>
      <c r="E57" s="2">
        <v>80</v>
      </c>
      <c r="F57" s="2" t="s">
        <v>26</v>
      </c>
      <c r="G57" s="2" t="s">
        <v>16</v>
      </c>
      <c r="H57" s="2" t="s">
        <v>54</v>
      </c>
      <c r="I57" s="2" t="s">
        <v>29</v>
      </c>
      <c r="J57" s="2" t="s">
        <v>30</v>
      </c>
      <c r="K57" s="10" t="s">
        <v>42</v>
      </c>
      <c r="L57" s="2">
        <v>8</v>
      </c>
      <c r="M57" s="4">
        <v>68730.33</v>
      </c>
      <c r="N57" s="5">
        <v>72</v>
      </c>
    </row>
    <row r="58" spans="1:14" ht="15" customHeight="1" x14ac:dyDescent="0.45">
      <c r="A58" s="6" t="s">
        <v>166</v>
      </c>
      <c r="B58" s="76">
        <v>45387</v>
      </c>
      <c r="C58" s="76" t="b">
        <f t="shared" si="1"/>
        <v>1</v>
      </c>
      <c r="D58" s="6" t="s">
        <v>167</v>
      </c>
      <c r="E58" s="6">
        <v>49</v>
      </c>
      <c r="F58" s="6" t="s">
        <v>15</v>
      </c>
      <c r="G58" s="6" t="s">
        <v>71</v>
      </c>
      <c r="H58" s="6" t="s">
        <v>54</v>
      </c>
      <c r="I58" s="6" t="s">
        <v>64</v>
      </c>
      <c r="J58" s="6" t="s">
        <v>65</v>
      </c>
      <c r="K58" s="3" t="s">
        <v>20</v>
      </c>
      <c r="L58" s="6">
        <v>7</v>
      </c>
      <c r="M58" s="7">
        <v>16067.85</v>
      </c>
      <c r="N58" s="8">
        <v>92</v>
      </c>
    </row>
    <row r="59" spans="1:14" ht="15" customHeight="1" x14ac:dyDescent="0.45">
      <c r="A59" s="2" t="s">
        <v>168</v>
      </c>
      <c r="B59" s="76">
        <v>45557</v>
      </c>
      <c r="C59" s="76" t="b">
        <f t="shared" si="1"/>
        <v>1</v>
      </c>
      <c r="D59" s="2" t="s">
        <v>169</v>
      </c>
      <c r="E59" s="2">
        <v>69</v>
      </c>
      <c r="F59" s="2" t="s">
        <v>15</v>
      </c>
      <c r="G59" s="2" t="s">
        <v>71</v>
      </c>
      <c r="H59" s="2" t="s">
        <v>54</v>
      </c>
      <c r="I59" s="2" t="s">
        <v>36</v>
      </c>
      <c r="J59" s="2" t="s">
        <v>37</v>
      </c>
      <c r="K59" s="9" t="s">
        <v>31</v>
      </c>
      <c r="L59" s="2">
        <v>12</v>
      </c>
      <c r="M59" s="4">
        <v>39841.24</v>
      </c>
      <c r="N59" s="5">
        <v>87</v>
      </c>
    </row>
    <row r="60" spans="1:14" ht="15" customHeight="1" x14ac:dyDescent="0.45">
      <c r="A60" s="6" t="s">
        <v>170</v>
      </c>
      <c r="B60" s="76">
        <v>45578</v>
      </c>
      <c r="C60" s="76" t="b">
        <f t="shared" si="1"/>
        <v>1</v>
      </c>
      <c r="D60" s="6" t="s">
        <v>171</v>
      </c>
      <c r="E60" s="6">
        <v>60</v>
      </c>
      <c r="F60" s="6" t="s">
        <v>26</v>
      </c>
      <c r="G60" s="6" t="s">
        <v>16</v>
      </c>
      <c r="H60" s="6" t="s">
        <v>17</v>
      </c>
      <c r="I60" s="6" t="s">
        <v>101</v>
      </c>
      <c r="J60" s="6" t="s">
        <v>102</v>
      </c>
      <c r="K60" s="10" t="s">
        <v>42</v>
      </c>
      <c r="L60" s="6">
        <v>9</v>
      </c>
      <c r="M60" s="7">
        <v>49658.92</v>
      </c>
      <c r="N60" s="8">
        <v>100</v>
      </c>
    </row>
    <row r="61" spans="1:14" ht="15" customHeight="1" x14ac:dyDescent="0.45">
      <c r="A61" s="2" t="s">
        <v>172</v>
      </c>
      <c r="B61" s="76">
        <v>45535</v>
      </c>
      <c r="C61" s="76" t="b">
        <f t="shared" si="1"/>
        <v>1</v>
      </c>
      <c r="D61" s="2" t="s">
        <v>117</v>
      </c>
      <c r="E61" s="2">
        <v>65</v>
      </c>
      <c r="F61" s="2" t="s">
        <v>26</v>
      </c>
      <c r="G61" s="2" t="s">
        <v>16</v>
      </c>
      <c r="H61" s="2" t="s">
        <v>17</v>
      </c>
      <c r="I61" s="2" t="s">
        <v>36</v>
      </c>
      <c r="J61" s="2" t="s">
        <v>37</v>
      </c>
      <c r="K61" s="9" t="s">
        <v>31</v>
      </c>
      <c r="L61" s="2">
        <v>14</v>
      </c>
      <c r="M61" s="4">
        <v>38755.230000000003</v>
      </c>
      <c r="N61" s="5">
        <v>94</v>
      </c>
    </row>
    <row r="62" spans="1:14" ht="15" customHeight="1" x14ac:dyDescent="0.45">
      <c r="A62" s="6" t="s">
        <v>174</v>
      </c>
      <c r="B62" s="76">
        <v>45537</v>
      </c>
      <c r="C62" s="76" t="b">
        <f t="shared" si="1"/>
        <v>1</v>
      </c>
      <c r="D62" s="6" t="s">
        <v>175</v>
      </c>
      <c r="E62" s="6">
        <v>35</v>
      </c>
      <c r="F62" s="6" t="s">
        <v>26</v>
      </c>
      <c r="G62" s="6" t="s">
        <v>27</v>
      </c>
      <c r="H62" s="6" t="s">
        <v>35</v>
      </c>
      <c r="I62" s="6" t="s">
        <v>29</v>
      </c>
      <c r="J62" s="6" t="s">
        <v>30</v>
      </c>
      <c r="K62" s="11" t="s">
        <v>50</v>
      </c>
      <c r="L62" s="6">
        <v>8</v>
      </c>
      <c r="M62" s="7">
        <v>58515.86</v>
      </c>
      <c r="N62" s="8">
        <v>77</v>
      </c>
    </row>
    <row r="63" spans="1:14" ht="15" customHeight="1" x14ac:dyDescent="0.45">
      <c r="A63" s="2" t="s">
        <v>176</v>
      </c>
      <c r="B63" s="76">
        <v>45410</v>
      </c>
      <c r="C63" s="76" t="b">
        <f t="shared" si="1"/>
        <v>1</v>
      </c>
      <c r="D63" s="2" t="s">
        <v>96</v>
      </c>
      <c r="E63" s="2">
        <v>26</v>
      </c>
      <c r="F63" s="2" t="s">
        <v>15</v>
      </c>
      <c r="G63" s="2" t="s">
        <v>71</v>
      </c>
      <c r="H63" s="2" t="s">
        <v>17</v>
      </c>
      <c r="I63" s="2" t="s">
        <v>18</v>
      </c>
      <c r="J63" s="2" t="s">
        <v>19</v>
      </c>
      <c r="K63" s="9" t="s">
        <v>31</v>
      </c>
      <c r="L63" s="2">
        <v>3</v>
      </c>
      <c r="M63" s="4">
        <v>33727.65</v>
      </c>
      <c r="N63" s="5">
        <v>74</v>
      </c>
    </row>
    <row r="64" spans="1:14" ht="15" customHeight="1" x14ac:dyDescent="0.45">
      <c r="A64" s="6" t="s">
        <v>177</v>
      </c>
      <c r="B64" s="76">
        <v>45504</v>
      </c>
      <c r="C64" s="76" t="b">
        <f t="shared" si="1"/>
        <v>1</v>
      </c>
      <c r="D64" s="6" t="s">
        <v>178</v>
      </c>
      <c r="E64" s="6">
        <v>52</v>
      </c>
      <c r="F64" s="6" t="s">
        <v>26</v>
      </c>
      <c r="G64" s="6" t="s">
        <v>16</v>
      </c>
      <c r="H64" s="6" t="s">
        <v>57</v>
      </c>
      <c r="I64" s="6" t="s">
        <v>77</v>
      </c>
      <c r="J64" s="6" t="s">
        <v>78</v>
      </c>
      <c r="K64" s="10" t="s">
        <v>42</v>
      </c>
      <c r="L64" s="6">
        <v>8</v>
      </c>
      <c r="M64" s="7">
        <v>9669.93</v>
      </c>
      <c r="N64" s="8">
        <v>96</v>
      </c>
    </row>
    <row r="65" spans="1:14" ht="15" customHeight="1" x14ac:dyDescent="0.45">
      <c r="A65" s="2" t="s">
        <v>179</v>
      </c>
      <c r="B65" s="76">
        <v>45383</v>
      </c>
      <c r="C65" s="76" t="b">
        <f t="shared" si="1"/>
        <v>1</v>
      </c>
      <c r="D65" s="2" t="s">
        <v>180</v>
      </c>
      <c r="E65" s="2">
        <v>42</v>
      </c>
      <c r="F65" s="2" t="s">
        <v>26</v>
      </c>
      <c r="G65" s="2" t="s">
        <v>16</v>
      </c>
      <c r="H65" s="2" t="s">
        <v>35</v>
      </c>
      <c r="I65" s="2" t="s">
        <v>46</v>
      </c>
      <c r="J65" s="2" t="s">
        <v>47</v>
      </c>
      <c r="K65" s="10" t="s">
        <v>42</v>
      </c>
      <c r="L65" s="2">
        <v>8</v>
      </c>
      <c r="M65" s="4">
        <v>75705.62</v>
      </c>
      <c r="N65" s="5">
        <v>79</v>
      </c>
    </row>
    <row r="66" spans="1:14" ht="15" customHeight="1" x14ac:dyDescent="0.45">
      <c r="A66" s="6" t="s">
        <v>181</v>
      </c>
      <c r="B66" s="76">
        <v>45452</v>
      </c>
      <c r="C66" s="76" t="b">
        <f t="shared" si="1"/>
        <v>1</v>
      </c>
      <c r="D66" s="6" t="s">
        <v>182</v>
      </c>
      <c r="E66" s="6">
        <v>75</v>
      </c>
      <c r="F66" s="6" t="s">
        <v>15</v>
      </c>
      <c r="G66" s="6" t="s">
        <v>71</v>
      </c>
      <c r="H66" s="6" t="s">
        <v>28</v>
      </c>
      <c r="I66" s="6" t="s">
        <v>46</v>
      </c>
      <c r="J66" s="6" t="s">
        <v>47</v>
      </c>
      <c r="K66" s="10" t="s">
        <v>42</v>
      </c>
      <c r="L66" s="6">
        <v>4</v>
      </c>
      <c r="M66" s="7">
        <v>21456.62</v>
      </c>
      <c r="N66" s="8">
        <v>83</v>
      </c>
    </row>
    <row r="67" spans="1:14" ht="15" customHeight="1" x14ac:dyDescent="0.45">
      <c r="A67" s="2" t="s">
        <v>183</v>
      </c>
      <c r="B67" s="76">
        <v>45531</v>
      </c>
      <c r="C67" s="76" t="b">
        <f t="shared" ref="C67:C98" si="2">ISNUMBER(B67)</f>
        <v>1</v>
      </c>
      <c r="D67" s="2" t="s">
        <v>99</v>
      </c>
      <c r="E67" s="2">
        <v>64</v>
      </c>
      <c r="F67" s="2" t="s">
        <v>15</v>
      </c>
      <c r="G67" s="2" t="s">
        <v>71</v>
      </c>
      <c r="H67" s="2" t="s">
        <v>35</v>
      </c>
      <c r="I67" s="2" t="s">
        <v>64</v>
      </c>
      <c r="J67" s="2" t="s">
        <v>65</v>
      </c>
      <c r="K67" s="12" t="s">
        <v>58</v>
      </c>
      <c r="L67" s="2">
        <v>3</v>
      </c>
      <c r="M67" s="4">
        <v>73965.62</v>
      </c>
      <c r="N67" s="5">
        <v>89</v>
      </c>
    </row>
    <row r="68" spans="1:14" ht="15" customHeight="1" x14ac:dyDescent="0.45">
      <c r="A68" s="6" t="s">
        <v>185</v>
      </c>
      <c r="B68" s="76">
        <v>45628</v>
      </c>
      <c r="C68" s="76" t="b">
        <f t="shared" si="2"/>
        <v>1</v>
      </c>
      <c r="D68" s="6" t="s">
        <v>186</v>
      </c>
      <c r="E68" s="6">
        <v>60</v>
      </c>
      <c r="F68" s="6" t="s">
        <v>15</v>
      </c>
      <c r="G68" s="6" t="s">
        <v>68</v>
      </c>
      <c r="H68" s="6" t="s">
        <v>28</v>
      </c>
      <c r="I68" s="6" t="s">
        <v>46</v>
      </c>
      <c r="J68" s="6" t="s">
        <v>47</v>
      </c>
      <c r="K68" s="10" t="s">
        <v>42</v>
      </c>
      <c r="L68" s="6">
        <v>1</v>
      </c>
      <c r="M68" s="7">
        <v>53206.22</v>
      </c>
      <c r="N68" s="8">
        <v>74</v>
      </c>
    </row>
    <row r="69" spans="1:14" ht="15" customHeight="1" x14ac:dyDescent="0.45">
      <c r="A69" s="2" t="s">
        <v>187</v>
      </c>
      <c r="B69" s="76">
        <v>45524</v>
      </c>
      <c r="C69" s="76" t="b">
        <f t="shared" si="2"/>
        <v>1</v>
      </c>
      <c r="D69" s="2" t="s">
        <v>39</v>
      </c>
      <c r="E69" s="2">
        <v>38</v>
      </c>
      <c r="F69" s="2" t="s">
        <v>26</v>
      </c>
      <c r="G69" s="2" t="s">
        <v>71</v>
      </c>
      <c r="H69" s="2" t="s">
        <v>28</v>
      </c>
      <c r="I69" s="2" t="s">
        <v>64</v>
      </c>
      <c r="J69" s="2" t="s">
        <v>65</v>
      </c>
      <c r="K69" s="10" t="s">
        <v>42</v>
      </c>
      <c r="L69" s="2">
        <v>4</v>
      </c>
      <c r="M69" s="4">
        <v>29513.439999999999</v>
      </c>
      <c r="N69" s="5">
        <v>94</v>
      </c>
    </row>
    <row r="70" spans="1:14" ht="15" customHeight="1" x14ac:dyDescent="0.45">
      <c r="A70" s="6" t="s">
        <v>188</v>
      </c>
      <c r="B70" s="76">
        <v>45361</v>
      </c>
      <c r="C70" s="76" t="b">
        <f t="shared" si="2"/>
        <v>1</v>
      </c>
      <c r="D70" s="6" t="s">
        <v>169</v>
      </c>
      <c r="E70" s="6">
        <v>48</v>
      </c>
      <c r="F70" s="6" t="s">
        <v>15</v>
      </c>
      <c r="G70" s="6" t="s">
        <v>68</v>
      </c>
      <c r="H70" s="6" t="s">
        <v>57</v>
      </c>
      <c r="I70" s="6" t="s">
        <v>18</v>
      </c>
      <c r="J70" s="6" t="s">
        <v>19</v>
      </c>
      <c r="K70" s="11" t="s">
        <v>50</v>
      </c>
      <c r="L70" s="6">
        <v>1</v>
      </c>
      <c r="M70" s="7">
        <v>8906.42</v>
      </c>
      <c r="N70" s="8">
        <v>100</v>
      </c>
    </row>
    <row r="71" spans="1:14" ht="15" customHeight="1" x14ac:dyDescent="0.45">
      <c r="A71" s="2" t="s">
        <v>189</v>
      </c>
      <c r="B71" s="76">
        <v>45630</v>
      </c>
      <c r="C71" s="76" t="b">
        <f t="shared" si="2"/>
        <v>1</v>
      </c>
      <c r="D71" s="2" t="s">
        <v>191</v>
      </c>
      <c r="E71" s="2">
        <v>78</v>
      </c>
      <c r="F71" s="2" t="s">
        <v>15</v>
      </c>
      <c r="G71" s="2" t="s">
        <v>45</v>
      </c>
      <c r="H71" s="2" t="s">
        <v>17</v>
      </c>
      <c r="I71" s="2" t="s">
        <v>23</v>
      </c>
      <c r="J71" s="2" t="s">
        <v>24</v>
      </c>
      <c r="K71" s="9" t="s">
        <v>31</v>
      </c>
      <c r="L71" s="2">
        <v>4</v>
      </c>
      <c r="M71" s="4">
        <v>67942.16</v>
      </c>
      <c r="N71" s="5">
        <v>89</v>
      </c>
    </row>
    <row r="72" spans="1:14" ht="15" customHeight="1" x14ac:dyDescent="0.45">
      <c r="A72" s="6" t="s">
        <v>192</v>
      </c>
      <c r="B72" s="76">
        <v>45530</v>
      </c>
      <c r="C72" s="76" t="b">
        <f t="shared" si="2"/>
        <v>1</v>
      </c>
      <c r="D72" s="6" t="s">
        <v>99</v>
      </c>
      <c r="E72" s="6">
        <v>54</v>
      </c>
      <c r="F72" s="6" t="s">
        <v>15</v>
      </c>
      <c r="G72" s="6" t="s">
        <v>16</v>
      </c>
      <c r="H72" s="6" t="s">
        <v>35</v>
      </c>
      <c r="I72" s="6" t="s">
        <v>18</v>
      </c>
      <c r="J72" s="6" t="s">
        <v>19</v>
      </c>
      <c r="K72" s="11" t="s">
        <v>50</v>
      </c>
      <c r="L72" s="6">
        <v>4</v>
      </c>
      <c r="M72" s="7">
        <v>57459.87</v>
      </c>
      <c r="N72" s="8">
        <v>94</v>
      </c>
    </row>
    <row r="73" spans="1:14" ht="15" customHeight="1" x14ac:dyDescent="0.45">
      <c r="A73" s="2" t="s">
        <v>194</v>
      </c>
      <c r="B73" s="76">
        <v>45375</v>
      </c>
      <c r="C73" s="76" t="b">
        <f t="shared" si="2"/>
        <v>1</v>
      </c>
      <c r="D73" s="2" t="s">
        <v>106</v>
      </c>
      <c r="E73" s="2">
        <v>67</v>
      </c>
      <c r="F73" s="2" t="s">
        <v>15</v>
      </c>
      <c r="G73" s="2" t="s">
        <v>27</v>
      </c>
      <c r="H73" s="2" t="s">
        <v>35</v>
      </c>
      <c r="I73" s="2" t="s">
        <v>18</v>
      </c>
      <c r="J73" s="2" t="s">
        <v>19</v>
      </c>
      <c r="K73" s="12" t="s">
        <v>58</v>
      </c>
      <c r="L73" s="2">
        <v>14</v>
      </c>
      <c r="M73" s="4">
        <v>77354.06</v>
      </c>
      <c r="N73" s="5">
        <v>73</v>
      </c>
    </row>
    <row r="74" spans="1:14" ht="15" customHeight="1" x14ac:dyDescent="0.45">
      <c r="A74" s="6" t="s">
        <v>195</v>
      </c>
      <c r="B74" s="76">
        <v>45600</v>
      </c>
      <c r="C74" s="76" t="b">
        <f t="shared" si="2"/>
        <v>1</v>
      </c>
      <c r="D74" s="6" t="s">
        <v>22</v>
      </c>
      <c r="E74" s="6">
        <v>43</v>
      </c>
      <c r="F74" s="6" t="s">
        <v>15</v>
      </c>
      <c r="G74" s="6" t="s">
        <v>27</v>
      </c>
      <c r="H74" s="6" t="s">
        <v>35</v>
      </c>
      <c r="I74" s="6" t="s">
        <v>64</v>
      </c>
      <c r="J74" s="6" t="s">
        <v>65</v>
      </c>
      <c r="K74" s="9" t="s">
        <v>31</v>
      </c>
      <c r="L74" s="6">
        <v>12</v>
      </c>
      <c r="M74" s="7">
        <v>10699.74</v>
      </c>
      <c r="N74" s="8">
        <v>92</v>
      </c>
    </row>
    <row r="75" spans="1:14" ht="15" customHeight="1" x14ac:dyDescent="0.45">
      <c r="A75" s="2" t="s">
        <v>196</v>
      </c>
      <c r="B75" s="76">
        <v>45313</v>
      </c>
      <c r="C75" s="76" t="b">
        <f t="shared" si="2"/>
        <v>1</v>
      </c>
      <c r="D75" s="2" t="s">
        <v>197</v>
      </c>
      <c r="E75" s="2">
        <v>68</v>
      </c>
      <c r="F75" s="2" t="s">
        <v>15</v>
      </c>
      <c r="G75" s="2" t="s">
        <v>16</v>
      </c>
      <c r="H75" s="2" t="s">
        <v>28</v>
      </c>
      <c r="I75" s="2" t="s">
        <v>18</v>
      </c>
      <c r="J75" s="2" t="s">
        <v>19</v>
      </c>
      <c r="K75" s="11" t="s">
        <v>50</v>
      </c>
      <c r="L75" s="2">
        <v>10</v>
      </c>
      <c r="M75" s="4">
        <v>31040.28</v>
      </c>
      <c r="N75" s="5">
        <v>83</v>
      </c>
    </row>
    <row r="76" spans="1:14" ht="15" customHeight="1" x14ac:dyDescent="0.45">
      <c r="A76" s="6" t="s">
        <v>198</v>
      </c>
      <c r="B76" s="76">
        <v>45482</v>
      </c>
      <c r="C76" s="76" t="b">
        <f t="shared" si="2"/>
        <v>1</v>
      </c>
      <c r="D76" s="6" t="s">
        <v>117</v>
      </c>
      <c r="E76" s="6">
        <v>72</v>
      </c>
      <c r="F76" s="6" t="s">
        <v>26</v>
      </c>
      <c r="G76" s="6" t="s">
        <v>45</v>
      </c>
      <c r="H76" s="6" t="s">
        <v>17</v>
      </c>
      <c r="I76" s="6" t="s">
        <v>23</v>
      </c>
      <c r="J76" s="6" t="s">
        <v>24</v>
      </c>
      <c r="K76" s="11" t="s">
        <v>50</v>
      </c>
      <c r="L76" s="6">
        <v>7</v>
      </c>
      <c r="M76" s="7">
        <v>12915.42</v>
      </c>
      <c r="N76" s="8">
        <v>100</v>
      </c>
    </row>
    <row r="77" spans="1:14" ht="15" customHeight="1" x14ac:dyDescent="0.45">
      <c r="A77" s="2" t="s">
        <v>199</v>
      </c>
      <c r="B77" s="76">
        <v>45625</v>
      </c>
      <c r="C77" s="76" t="b">
        <f t="shared" si="2"/>
        <v>1</v>
      </c>
      <c r="D77" s="2" t="s">
        <v>201</v>
      </c>
      <c r="E77" s="2">
        <v>64</v>
      </c>
      <c r="F77" s="2" t="s">
        <v>26</v>
      </c>
      <c r="G77" s="2" t="s">
        <v>71</v>
      </c>
      <c r="H77" s="2" t="s">
        <v>17</v>
      </c>
      <c r="I77" s="2" t="s">
        <v>36</v>
      </c>
      <c r="J77" s="2" t="s">
        <v>37</v>
      </c>
      <c r="K77" s="12" t="s">
        <v>58</v>
      </c>
      <c r="L77" s="2">
        <v>9</v>
      </c>
      <c r="M77" s="4">
        <v>25256.18</v>
      </c>
      <c r="N77" s="5">
        <v>95</v>
      </c>
    </row>
    <row r="78" spans="1:14" ht="15" customHeight="1" x14ac:dyDescent="0.45">
      <c r="A78" s="6" t="s">
        <v>202</v>
      </c>
      <c r="B78" s="76">
        <v>45417</v>
      </c>
      <c r="C78" s="76" t="b">
        <f t="shared" si="2"/>
        <v>1</v>
      </c>
      <c r="D78" s="6" t="s">
        <v>167</v>
      </c>
      <c r="E78" s="6">
        <v>35</v>
      </c>
      <c r="F78" s="6" t="s">
        <v>26</v>
      </c>
      <c r="G78" s="6" t="s">
        <v>45</v>
      </c>
      <c r="H78" s="6" t="s">
        <v>17</v>
      </c>
      <c r="I78" s="6" t="s">
        <v>46</v>
      </c>
      <c r="J78" s="6" t="s">
        <v>47</v>
      </c>
      <c r="K78" s="11" t="s">
        <v>50</v>
      </c>
      <c r="L78" s="6">
        <v>6</v>
      </c>
      <c r="M78" s="7">
        <v>67304.83</v>
      </c>
      <c r="N78" s="8">
        <v>72</v>
      </c>
    </row>
    <row r="79" spans="1:14" ht="15" customHeight="1" x14ac:dyDescent="0.45">
      <c r="A79" s="2" t="s">
        <v>203</v>
      </c>
      <c r="B79" s="76">
        <v>45486</v>
      </c>
      <c r="C79" s="76" t="b">
        <f t="shared" si="2"/>
        <v>1</v>
      </c>
      <c r="D79" s="2" t="s">
        <v>204</v>
      </c>
      <c r="E79" s="2">
        <v>57</v>
      </c>
      <c r="F79" s="2" t="s">
        <v>15</v>
      </c>
      <c r="G79" s="2" t="s">
        <v>71</v>
      </c>
      <c r="H79" s="2" t="s">
        <v>54</v>
      </c>
      <c r="I79" s="2" t="s">
        <v>46</v>
      </c>
      <c r="J79" s="2" t="s">
        <v>47</v>
      </c>
      <c r="K79" s="11" t="s">
        <v>50</v>
      </c>
      <c r="L79" s="2">
        <v>11</v>
      </c>
      <c r="M79" s="4">
        <v>30229.75</v>
      </c>
      <c r="N79" s="5">
        <v>85</v>
      </c>
    </row>
    <row r="80" spans="1:14" ht="15" customHeight="1" x14ac:dyDescent="0.45">
      <c r="A80" s="6" t="s">
        <v>205</v>
      </c>
      <c r="B80" s="76">
        <v>45466</v>
      </c>
      <c r="C80" s="76" t="b">
        <f t="shared" si="2"/>
        <v>1</v>
      </c>
      <c r="D80" s="6" t="s">
        <v>206</v>
      </c>
      <c r="E80" s="6">
        <v>69</v>
      </c>
      <c r="F80" s="6" t="s">
        <v>15</v>
      </c>
      <c r="G80" s="6" t="s">
        <v>16</v>
      </c>
      <c r="H80" s="6" t="s">
        <v>54</v>
      </c>
      <c r="I80" s="6" t="s">
        <v>77</v>
      </c>
      <c r="J80" s="6" t="s">
        <v>78</v>
      </c>
      <c r="K80" s="11" t="s">
        <v>50</v>
      </c>
      <c r="L80" s="6">
        <v>5</v>
      </c>
      <c r="M80" s="7">
        <v>25974.39</v>
      </c>
      <c r="N80" s="8">
        <v>89</v>
      </c>
    </row>
    <row r="81" spans="1:14" ht="15" customHeight="1" x14ac:dyDescent="0.45">
      <c r="A81" s="2" t="s">
        <v>207</v>
      </c>
      <c r="B81" s="76">
        <v>45500</v>
      </c>
      <c r="C81" s="76" t="b">
        <f t="shared" si="2"/>
        <v>1</v>
      </c>
      <c r="D81" s="2" t="s">
        <v>178</v>
      </c>
      <c r="E81" s="2">
        <v>33</v>
      </c>
      <c r="F81" s="2" t="s">
        <v>26</v>
      </c>
      <c r="G81" s="2" t="s">
        <v>71</v>
      </c>
      <c r="H81" s="2" t="s">
        <v>17</v>
      </c>
      <c r="I81" s="2" t="s">
        <v>18</v>
      </c>
      <c r="J81" s="2" t="s">
        <v>19</v>
      </c>
      <c r="K81" s="9" t="s">
        <v>31</v>
      </c>
      <c r="L81" s="2">
        <v>12</v>
      </c>
      <c r="M81" s="4">
        <v>41643.339999999997</v>
      </c>
      <c r="N81" s="5">
        <v>94</v>
      </c>
    </row>
    <row r="82" spans="1:14" ht="15" customHeight="1" x14ac:dyDescent="0.45">
      <c r="A82" s="6" t="s">
        <v>208</v>
      </c>
      <c r="B82" s="76">
        <v>45405</v>
      </c>
      <c r="C82" s="76" t="b">
        <f t="shared" si="2"/>
        <v>1</v>
      </c>
      <c r="D82" s="6" t="s">
        <v>67</v>
      </c>
      <c r="E82" s="6">
        <v>23</v>
      </c>
      <c r="F82" s="6" t="s">
        <v>26</v>
      </c>
      <c r="G82" s="6" t="s">
        <v>71</v>
      </c>
      <c r="H82" s="6" t="s">
        <v>35</v>
      </c>
      <c r="I82" s="6" t="s">
        <v>23</v>
      </c>
      <c r="J82" s="6" t="s">
        <v>24</v>
      </c>
      <c r="K82" s="11" t="s">
        <v>50</v>
      </c>
      <c r="L82" s="6">
        <v>5</v>
      </c>
      <c r="M82" s="7">
        <v>35330.080000000002</v>
      </c>
      <c r="N82" s="8">
        <v>77</v>
      </c>
    </row>
    <row r="83" spans="1:14" ht="15" customHeight="1" x14ac:dyDescent="0.45">
      <c r="A83" s="2" t="s">
        <v>209</v>
      </c>
      <c r="B83" s="76">
        <v>45514</v>
      </c>
      <c r="C83" s="76" t="b">
        <f t="shared" si="2"/>
        <v>1</v>
      </c>
      <c r="D83" s="2" t="s">
        <v>127</v>
      </c>
      <c r="E83" s="2">
        <v>40</v>
      </c>
      <c r="F83" s="2" t="s">
        <v>26</v>
      </c>
      <c r="G83" s="2" t="s">
        <v>27</v>
      </c>
      <c r="H83" s="2" t="s">
        <v>28</v>
      </c>
      <c r="I83" s="2" t="s">
        <v>88</v>
      </c>
      <c r="J83" s="2" t="s">
        <v>89</v>
      </c>
      <c r="K83" s="10" t="s">
        <v>42</v>
      </c>
      <c r="L83" s="2">
        <v>7</v>
      </c>
      <c r="M83" s="4">
        <v>29809.35</v>
      </c>
      <c r="N83" s="5">
        <v>92</v>
      </c>
    </row>
    <row r="84" spans="1:14" ht="15" customHeight="1" x14ac:dyDescent="0.45">
      <c r="A84" s="6" t="s">
        <v>210</v>
      </c>
      <c r="B84" s="76">
        <v>45508</v>
      </c>
      <c r="C84" s="76" t="b">
        <f t="shared" si="2"/>
        <v>1</v>
      </c>
      <c r="D84" s="6" t="s">
        <v>211</v>
      </c>
      <c r="E84" s="6">
        <v>25</v>
      </c>
      <c r="F84" s="6" t="s">
        <v>15</v>
      </c>
      <c r="G84" s="6" t="s">
        <v>45</v>
      </c>
      <c r="H84" s="6" t="s">
        <v>54</v>
      </c>
      <c r="I84" s="6" t="s">
        <v>29</v>
      </c>
      <c r="J84" s="6" t="s">
        <v>30</v>
      </c>
      <c r="K84" s="12" t="s">
        <v>58</v>
      </c>
      <c r="L84" s="6">
        <v>12</v>
      </c>
      <c r="M84" s="7">
        <v>28666.1</v>
      </c>
      <c r="N84" s="8">
        <v>93</v>
      </c>
    </row>
    <row r="85" spans="1:14" ht="15" customHeight="1" x14ac:dyDescent="0.45">
      <c r="A85" s="2" t="s">
        <v>212</v>
      </c>
      <c r="B85" s="76">
        <v>45593</v>
      </c>
      <c r="C85" s="76" t="b">
        <f t="shared" si="2"/>
        <v>1</v>
      </c>
      <c r="D85" s="2" t="s">
        <v>214</v>
      </c>
      <c r="E85" s="2">
        <v>35</v>
      </c>
      <c r="F85" s="2" t="s">
        <v>26</v>
      </c>
      <c r="G85" s="2" t="s">
        <v>68</v>
      </c>
      <c r="H85" s="2" t="s">
        <v>54</v>
      </c>
      <c r="I85" s="2" t="s">
        <v>101</v>
      </c>
      <c r="J85" s="2" t="s">
        <v>102</v>
      </c>
      <c r="K85" s="12" t="s">
        <v>58</v>
      </c>
      <c r="L85" s="2">
        <v>12</v>
      </c>
      <c r="M85" s="4">
        <v>78245.53</v>
      </c>
      <c r="N85" s="5">
        <v>86</v>
      </c>
    </row>
    <row r="86" spans="1:14" ht="15" customHeight="1" x14ac:dyDescent="0.45">
      <c r="A86" s="6" t="s">
        <v>215</v>
      </c>
      <c r="B86" s="76">
        <v>45295</v>
      </c>
      <c r="C86" s="76" t="b">
        <f t="shared" si="2"/>
        <v>1</v>
      </c>
      <c r="D86" s="6" t="s">
        <v>106</v>
      </c>
      <c r="E86" s="6">
        <v>32</v>
      </c>
      <c r="F86" s="6" t="s">
        <v>15</v>
      </c>
      <c r="G86" s="6" t="s">
        <v>27</v>
      </c>
      <c r="H86" s="6" t="s">
        <v>57</v>
      </c>
      <c r="I86" s="6" t="s">
        <v>40</v>
      </c>
      <c r="J86" s="6" t="s">
        <v>41</v>
      </c>
      <c r="K86" s="12" t="s">
        <v>58</v>
      </c>
      <c r="L86" s="6">
        <v>6</v>
      </c>
      <c r="M86" s="7">
        <v>27670.07</v>
      </c>
      <c r="N86" s="8">
        <v>92</v>
      </c>
    </row>
    <row r="87" spans="1:14" ht="15" customHeight="1" x14ac:dyDescent="0.45">
      <c r="A87" s="2" t="s">
        <v>216</v>
      </c>
      <c r="B87" s="76">
        <v>45649</v>
      </c>
      <c r="C87" s="76" t="b">
        <f t="shared" si="2"/>
        <v>1</v>
      </c>
      <c r="D87" s="2" t="s">
        <v>217</v>
      </c>
      <c r="E87" s="2">
        <v>53</v>
      </c>
      <c r="F87" s="2" t="s">
        <v>15</v>
      </c>
      <c r="G87" s="2" t="s">
        <v>68</v>
      </c>
      <c r="H87" s="2" t="s">
        <v>35</v>
      </c>
      <c r="I87" s="2" t="s">
        <v>23</v>
      </c>
      <c r="J87" s="2" t="s">
        <v>24</v>
      </c>
      <c r="K87" s="10" t="s">
        <v>42</v>
      </c>
      <c r="L87" s="2">
        <v>5</v>
      </c>
      <c r="M87" s="4">
        <v>75806.720000000001</v>
      </c>
      <c r="N87" s="5">
        <v>90</v>
      </c>
    </row>
    <row r="88" spans="1:14" ht="15" customHeight="1" x14ac:dyDescent="0.45">
      <c r="A88" s="6" t="s">
        <v>218</v>
      </c>
      <c r="B88" s="76">
        <v>45517</v>
      </c>
      <c r="C88" s="76" t="b">
        <f t="shared" si="2"/>
        <v>1</v>
      </c>
      <c r="D88" s="6" t="s">
        <v>219</v>
      </c>
      <c r="E88" s="6">
        <v>48</v>
      </c>
      <c r="F88" s="6" t="s">
        <v>26</v>
      </c>
      <c r="G88" s="6" t="s">
        <v>71</v>
      </c>
      <c r="H88" s="6" t="s">
        <v>57</v>
      </c>
      <c r="I88" s="6" t="s">
        <v>40</v>
      </c>
      <c r="J88" s="6" t="s">
        <v>41</v>
      </c>
      <c r="K88" s="3" t="s">
        <v>20</v>
      </c>
      <c r="L88" s="6">
        <v>8</v>
      </c>
      <c r="M88" s="7">
        <v>30552.94</v>
      </c>
      <c r="N88" s="8">
        <v>100</v>
      </c>
    </row>
    <row r="89" spans="1:14" ht="15" customHeight="1" x14ac:dyDescent="0.45">
      <c r="A89" s="2" t="s">
        <v>220</v>
      </c>
      <c r="B89" s="76">
        <v>45475</v>
      </c>
      <c r="C89" s="76" t="b">
        <f t="shared" si="2"/>
        <v>1</v>
      </c>
      <c r="D89" s="2" t="s">
        <v>221</v>
      </c>
      <c r="E89" s="2">
        <v>43</v>
      </c>
      <c r="F89" s="2" t="s">
        <v>15</v>
      </c>
      <c r="G89" s="2" t="s">
        <v>45</v>
      </c>
      <c r="H89" s="2" t="s">
        <v>35</v>
      </c>
      <c r="I89" s="2" t="s">
        <v>18</v>
      </c>
      <c r="J89" s="2" t="s">
        <v>19</v>
      </c>
      <c r="K89" s="3" t="s">
        <v>20</v>
      </c>
      <c r="L89" s="2">
        <v>8</v>
      </c>
      <c r="M89" s="4">
        <v>48276.59</v>
      </c>
      <c r="N89" s="5">
        <v>91</v>
      </c>
    </row>
    <row r="90" spans="1:14" ht="15" customHeight="1" x14ac:dyDescent="0.45">
      <c r="A90" s="6" t="s">
        <v>222</v>
      </c>
      <c r="B90" s="76">
        <v>45294</v>
      </c>
      <c r="C90" s="76" t="b">
        <f t="shared" si="2"/>
        <v>1</v>
      </c>
      <c r="D90" s="6" t="s">
        <v>223</v>
      </c>
      <c r="E90" s="6">
        <v>23</v>
      </c>
      <c r="F90" s="6" t="s">
        <v>15</v>
      </c>
      <c r="G90" s="6" t="s">
        <v>16</v>
      </c>
      <c r="H90" s="6" t="s">
        <v>17</v>
      </c>
      <c r="I90" s="6" t="s">
        <v>40</v>
      </c>
      <c r="J90" s="6" t="s">
        <v>41</v>
      </c>
      <c r="K90" s="12" t="s">
        <v>58</v>
      </c>
      <c r="L90" s="6">
        <v>4</v>
      </c>
      <c r="M90" s="7">
        <v>46855.48</v>
      </c>
      <c r="N90" s="8">
        <v>83</v>
      </c>
    </row>
    <row r="91" spans="1:14" ht="15" customHeight="1" x14ac:dyDescent="0.45">
      <c r="A91" s="2" t="s">
        <v>224</v>
      </c>
      <c r="B91" s="76">
        <v>45297</v>
      </c>
      <c r="C91" s="76" t="b">
        <f t="shared" si="2"/>
        <v>1</v>
      </c>
      <c r="D91" s="2" t="s">
        <v>225</v>
      </c>
      <c r="E91" s="2">
        <v>76</v>
      </c>
      <c r="F91" s="2" t="s">
        <v>15</v>
      </c>
      <c r="G91" s="2" t="s">
        <v>16</v>
      </c>
      <c r="H91" s="2" t="s">
        <v>57</v>
      </c>
      <c r="I91" s="2" t="s">
        <v>101</v>
      </c>
      <c r="J91" s="2" t="s">
        <v>102</v>
      </c>
      <c r="K91" s="11" t="s">
        <v>50</v>
      </c>
      <c r="L91" s="2">
        <v>8</v>
      </c>
      <c r="M91" s="4">
        <v>69512.5</v>
      </c>
      <c r="N91" s="5">
        <v>83</v>
      </c>
    </row>
    <row r="92" spans="1:14" ht="15" customHeight="1" x14ac:dyDescent="0.45">
      <c r="A92" s="6" t="s">
        <v>226</v>
      </c>
      <c r="B92" s="76">
        <v>45427</v>
      </c>
      <c r="C92" s="76" t="b">
        <f t="shared" si="2"/>
        <v>1</v>
      </c>
      <c r="D92" s="6" t="s">
        <v>227</v>
      </c>
      <c r="E92" s="6">
        <v>58</v>
      </c>
      <c r="F92" s="6" t="s">
        <v>15</v>
      </c>
      <c r="G92" s="6" t="s">
        <v>16</v>
      </c>
      <c r="H92" s="6" t="s">
        <v>57</v>
      </c>
      <c r="I92" s="6" t="s">
        <v>29</v>
      </c>
      <c r="J92" s="6" t="s">
        <v>30</v>
      </c>
      <c r="K92" s="9" t="s">
        <v>31</v>
      </c>
      <c r="L92" s="6">
        <v>4</v>
      </c>
      <c r="M92" s="7">
        <v>54532.11</v>
      </c>
      <c r="N92" s="8">
        <v>75</v>
      </c>
    </row>
    <row r="93" spans="1:14" ht="15" customHeight="1" x14ac:dyDescent="0.45">
      <c r="A93" s="2" t="s">
        <v>228</v>
      </c>
      <c r="B93" s="76">
        <v>45522</v>
      </c>
      <c r="C93" s="76" t="b">
        <f t="shared" si="2"/>
        <v>1</v>
      </c>
      <c r="D93" s="2" t="s">
        <v>229</v>
      </c>
      <c r="E93" s="2">
        <v>18</v>
      </c>
      <c r="F93" s="2" t="s">
        <v>15</v>
      </c>
      <c r="G93" s="2" t="s">
        <v>45</v>
      </c>
      <c r="H93" s="2" t="s">
        <v>28</v>
      </c>
      <c r="I93" s="2" t="s">
        <v>36</v>
      </c>
      <c r="J93" s="2" t="s">
        <v>37</v>
      </c>
      <c r="K93" s="11" t="s">
        <v>50</v>
      </c>
      <c r="L93" s="2">
        <v>7</v>
      </c>
      <c r="M93" s="4">
        <v>56702.84</v>
      </c>
      <c r="N93" s="5">
        <v>85</v>
      </c>
    </row>
    <row r="94" spans="1:14" ht="15" customHeight="1" x14ac:dyDescent="0.45">
      <c r="A94" s="6" t="s">
        <v>230</v>
      </c>
      <c r="B94" s="76">
        <v>45524</v>
      </c>
      <c r="C94" s="76" t="b">
        <f t="shared" si="2"/>
        <v>1</v>
      </c>
      <c r="D94" s="6" t="s">
        <v>231</v>
      </c>
      <c r="E94" s="6">
        <v>62</v>
      </c>
      <c r="F94" s="6" t="s">
        <v>15</v>
      </c>
      <c r="G94" s="6" t="s">
        <v>71</v>
      </c>
      <c r="H94" s="6" t="s">
        <v>57</v>
      </c>
      <c r="I94" s="6" t="s">
        <v>40</v>
      </c>
      <c r="J94" s="6" t="s">
        <v>41</v>
      </c>
      <c r="K94" s="11" t="s">
        <v>50</v>
      </c>
      <c r="L94" s="6">
        <v>14</v>
      </c>
      <c r="M94" s="7">
        <v>10338.48</v>
      </c>
      <c r="N94" s="8">
        <v>77</v>
      </c>
    </row>
    <row r="95" spans="1:14" ht="15" customHeight="1" x14ac:dyDescent="0.45">
      <c r="A95" s="2" t="s">
        <v>232</v>
      </c>
      <c r="B95" s="76">
        <v>45368</v>
      </c>
      <c r="C95" s="76" t="b">
        <f t="shared" si="2"/>
        <v>1</v>
      </c>
      <c r="D95" s="2" t="s">
        <v>234</v>
      </c>
      <c r="E95" s="2">
        <v>32</v>
      </c>
      <c r="F95" s="2" t="s">
        <v>15</v>
      </c>
      <c r="G95" s="2" t="s">
        <v>68</v>
      </c>
      <c r="H95" s="2" t="s">
        <v>54</v>
      </c>
      <c r="I95" s="2" t="s">
        <v>88</v>
      </c>
      <c r="J95" s="2" t="s">
        <v>89</v>
      </c>
      <c r="K95" s="9" t="s">
        <v>31</v>
      </c>
      <c r="L95" s="2">
        <v>11</v>
      </c>
      <c r="M95" s="4">
        <v>73130.86</v>
      </c>
      <c r="N95" s="5">
        <v>96</v>
      </c>
    </row>
    <row r="96" spans="1:14" ht="15" customHeight="1" x14ac:dyDescent="0.45">
      <c r="A96" s="6" t="s">
        <v>235</v>
      </c>
      <c r="B96" s="76">
        <v>45583</v>
      </c>
      <c r="C96" s="76" t="b">
        <f t="shared" si="2"/>
        <v>1</v>
      </c>
      <c r="D96" s="6" t="s">
        <v>236</v>
      </c>
      <c r="E96" s="6">
        <v>56</v>
      </c>
      <c r="F96" s="6" t="s">
        <v>26</v>
      </c>
      <c r="G96" s="6" t="s">
        <v>27</v>
      </c>
      <c r="H96" s="6" t="s">
        <v>17</v>
      </c>
      <c r="I96" s="6" t="s">
        <v>40</v>
      </c>
      <c r="J96" s="6" t="s">
        <v>41</v>
      </c>
      <c r="K96" s="3" t="s">
        <v>20</v>
      </c>
      <c r="L96" s="6">
        <v>12</v>
      </c>
      <c r="M96" s="7">
        <v>74089.440000000002</v>
      </c>
      <c r="N96" s="8">
        <v>84</v>
      </c>
    </row>
    <row r="97" spans="1:14" ht="15" customHeight="1" x14ac:dyDescent="0.45">
      <c r="A97" s="2" t="s">
        <v>237</v>
      </c>
      <c r="B97" s="76">
        <v>45544</v>
      </c>
      <c r="C97" s="76" t="b">
        <f t="shared" si="2"/>
        <v>1</v>
      </c>
      <c r="D97" s="2" t="s">
        <v>162</v>
      </c>
      <c r="E97" s="2">
        <v>50</v>
      </c>
      <c r="F97" s="2" t="s">
        <v>26</v>
      </c>
      <c r="G97" s="2" t="s">
        <v>27</v>
      </c>
      <c r="H97" s="2" t="s">
        <v>35</v>
      </c>
      <c r="I97" s="2" t="s">
        <v>40</v>
      </c>
      <c r="J97" s="2" t="s">
        <v>41</v>
      </c>
      <c r="K97" s="3" t="s">
        <v>20</v>
      </c>
      <c r="L97" s="2">
        <v>9</v>
      </c>
      <c r="M97" s="4">
        <v>37831.910000000003</v>
      </c>
      <c r="N97" s="5">
        <v>89</v>
      </c>
    </row>
    <row r="98" spans="1:14" ht="15" customHeight="1" x14ac:dyDescent="0.45">
      <c r="A98" s="6" t="s">
        <v>239</v>
      </c>
      <c r="B98" s="76">
        <v>45409</v>
      </c>
      <c r="C98" s="76" t="b">
        <f t="shared" si="2"/>
        <v>1</v>
      </c>
      <c r="D98" s="6" t="s">
        <v>240</v>
      </c>
      <c r="E98" s="6">
        <v>19</v>
      </c>
      <c r="F98" s="6" t="s">
        <v>15</v>
      </c>
      <c r="G98" s="6" t="s">
        <v>27</v>
      </c>
      <c r="H98" s="6" t="s">
        <v>35</v>
      </c>
      <c r="I98" s="6" t="s">
        <v>40</v>
      </c>
      <c r="J98" s="6" t="s">
        <v>41</v>
      </c>
      <c r="K98" s="12" t="s">
        <v>58</v>
      </c>
      <c r="L98" s="6">
        <v>2</v>
      </c>
      <c r="M98" s="7">
        <v>77143.33</v>
      </c>
      <c r="N98" s="8">
        <v>96</v>
      </c>
    </row>
    <row r="99" spans="1:14" ht="15" customHeight="1" x14ac:dyDescent="0.45">
      <c r="A99" s="2" t="s">
        <v>241</v>
      </c>
      <c r="B99" s="76">
        <v>45381</v>
      </c>
      <c r="C99" s="76" t="b">
        <f t="shared" ref="C99:C130" si="3">ISNUMBER(B99)</f>
        <v>1</v>
      </c>
      <c r="D99" s="2" t="s">
        <v>190</v>
      </c>
      <c r="E99" s="2">
        <v>66</v>
      </c>
      <c r="F99" s="2" t="s">
        <v>26</v>
      </c>
      <c r="G99" s="2" t="s">
        <v>45</v>
      </c>
      <c r="H99" s="2" t="s">
        <v>35</v>
      </c>
      <c r="I99" s="2" t="s">
        <v>23</v>
      </c>
      <c r="J99" s="2" t="s">
        <v>24</v>
      </c>
      <c r="K99" s="10" t="s">
        <v>42</v>
      </c>
      <c r="L99" s="2">
        <v>13</v>
      </c>
      <c r="M99" s="4">
        <v>40287.56</v>
      </c>
      <c r="N99" s="5">
        <v>90</v>
      </c>
    </row>
    <row r="100" spans="1:14" ht="15" customHeight="1" x14ac:dyDescent="0.45">
      <c r="A100" s="6" t="s">
        <v>243</v>
      </c>
      <c r="B100" s="76">
        <v>45513</v>
      </c>
      <c r="C100" s="76" t="b">
        <f t="shared" si="3"/>
        <v>1</v>
      </c>
      <c r="D100" s="6" t="s">
        <v>118</v>
      </c>
      <c r="E100" s="6">
        <v>58</v>
      </c>
      <c r="F100" s="6" t="s">
        <v>26</v>
      </c>
      <c r="G100" s="6" t="s">
        <v>27</v>
      </c>
      <c r="H100" s="6" t="s">
        <v>28</v>
      </c>
      <c r="I100" s="6" t="s">
        <v>64</v>
      </c>
      <c r="J100" s="6" t="s">
        <v>65</v>
      </c>
      <c r="K100" s="11" t="s">
        <v>50</v>
      </c>
      <c r="L100" s="6">
        <v>14</v>
      </c>
      <c r="M100" s="7">
        <v>77679.14</v>
      </c>
      <c r="N100" s="8">
        <v>85</v>
      </c>
    </row>
    <row r="101" spans="1:14" ht="15" customHeight="1" x14ac:dyDescent="0.45">
      <c r="A101" s="2" t="s">
        <v>244</v>
      </c>
      <c r="B101" s="76">
        <v>45460</v>
      </c>
      <c r="C101" s="76" t="b">
        <f t="shared" si="3"/>
        <v>1</v>
      </c>
      <c r="D101" s="2" t="s">
        <v>245</v>
      </c>
      <c r="E101" s="2">
        <v>72</v>
      </c>
      <c r="F101" s="2" t="s">
        <v>26</v>
      </c>
      <c r="G101" s="2" t="s">
        <v>16</v>
      </c>
      <c r="H101" s="2" t="s">
        <v>57</v>
      </c>
      <c r="I101" s="2" t="s">
        <v>18</v>
      </c>
      <c r="J101" s="2" t="s">
        <v>19</v>
      </c>
      <c r="K101" s="11" t="s">
        <v>50</v>
      </c>
      <c r="L101" s="2">
        <v>3</v>
      </c>
      <c r="M101" s="4">
        <v>35873.379999999997</v>
      </c>
      <c r="N101" s="5">
        <v>85</v>
      </c>
    </row>
    <row r="102" spans="1:14" ht="15" customHeight="1" x14ac:dyDescent="0.45">
      <c r="A102" s="6" t="s">
        <v>246</v>
      </c>
      <c r="B102" s="76">
        <v>45540</v>
      </c>
      <c r="C102" s="76" t="b">
        <f t="shared" si="3"/>
        <v>1</v>
      </c>
      <c r="D102" s="6" t="s">
        <v>152</v>
      </c>
      <c r="E102" s="6">
        <v>23</v>
      </c>
      <c r="F102" s="6" t="s">
        <v>15</v>
      </c>
      <c r="G102" s="6" t="s">
        <v>16</v>
      </c>
      <c r="H102" s="6" t="s">
        <v>17</v>
      </c>
      <c r="I102" s="6" t="s">
        <v>101</v>
      </c>
      <c r="J102" s="6" t="s">
        <v>102</v>
      </c>
      <c r="K102" s="10" t="s">
        <v>42</v>
      </c>
      <c r="L102" s="6">
        <v>6</v>
      </c>
      <c r="M102" s="7">
        <v>29245.53</v>
      </c>
      <c r="N102" s="8">
        <v>94</v>
      </c>
    </row>
    <row r="103" spans="1:14" ht="15" customHeight="1" x14ac:dyDescent="0.45">
      <c r="A103" s="2" t="s">
        <v>247</v>
      </c>
      <c r="B103" s="76">
        <v>45557</v>
      </c>
      <c r="C103" s="76" t="b">
        <f t="shared" si="3"/>
        <v>1</v>
      </c>
      <c r="D103" s="2" t="s">
        <v>248</v>
      </c>
      <c r="E103" s="2">
        <v>21</v>
      </c>
      <c r="F103" s="2" t="s">
        <v>26</v>
      </c>
      <c r="G103" s="2" t="s">
        <v>68</v>
      </c>
      <c r="H103" s="2" t="s">
        <v>54</v>
      </c>
      <c r="I103" s="2" t="s">
        <v>64</v>
      </c>
      <c r="J103" s="2" t="s">
        <v>65</v>
      </c>
      <c r="K103" s="10" t="s">
        <v>42</v>
      </c>
      <c r="L103" s="2">
        <v>4</v>
      </c>
      <c r="M103" s="4">
        <v>32133.45</v>
      </c>
      <c r="N103" s="5">
        <v>94</v>
      </c>
    </row>
    <row r="104" spans="1:14" ht="15" customHeight="1" x14ac:dyDescent="0.45">
      <c r="A104" s="6" t="s">
        <v>249</v>
      </c>
      <c r="B104" s="76">
        <v>45439</v>
      </c>
      <c r="C104" s="76" t="b">
        <f t="shared" si="3"/>
        <v>1</v>
      </c>
      <c r="D104" s="6" t="s">
        <v>250</v>
      </c>
      <c r="E104" s="6">
        <v>53</v>
      </c>
      <c r="F104" s="6" t="s">
        <v>15</v>
      </c>
      <c r="G104" s="6" t="s">
        <v>68</v>
      </c>
      <c r="H104" s="6" t="s">
        <v>35</v>
      </c>
      <c r="I104" s="6" t="s">
        <v>40</v>
      </c>
      <c r="J104" s="6" t="s">
        <v>41</v>
      </c>
      <c r="K104" s="10" t="s">
        <v>42</v>
      </c>
      <c r="L104" s="6">
        <v>3</v>
      </c>
      <c r="M104" s="7">
        <v>37858.71</v>
      </c>
      <c r="N104" s="8">
        <v>92</v>
      </c>
    </row>
    <row r="105" spans="1:14" ht="15" customHeight="1" x14ac:dyDescent="0.45">
      <c r="A105" s="2" t="s">
        <v>251</v>
      </c>
      <c r="B105" s="76">
        <v>45510</v>
      </c>
      <c r="C105" s="76" t="b">
        <f t="shared" si="3"/>
        <v>1</v>
      </c>
      <c r="D105" s="2" t="s">
        <v>60</v>
      </c>
      <c r="E105" s="2">
        <v>63</v>
      </c>
      <c r="F105" s="2" t="s">
        <v>15</v>
      </c>
      <c r="G105" s="2" t="s">
        <v>45</v>
      </c>
      <c r="H105" s="2" t="s">
        <v>57</v>
      </c>
      <c r="I105" s="2" t="s">
        <v>29</v>
      </c>
      <c r="J105" s="2" t="s">
        <v>30</v>
      </c>
      <c r="K105" s="10" t="s">
        <v>42</v>
      </c>
      <c r="L105" s="2">
        <v>3</v>
      </c>
      <c r="M105" s="4">
        <v>46312.93</v>
      </c>
      <c r="N105" s="5">
        <v>87</v>
      </c>
    </row>
    <row r="106" spans="1:14" ht="15" customHeight="1" x14ac:dyDescent="0.45">
      <c r="A106" s="6" t="s">
        <v>252</v>
      </c>
      <c r="B106" s="76">
        <v>45623</v>
      </c>
      <c r="C106" s="76" t="b">
        <f t="shared" si="3"/>
        <v>1</v>
      </c>
      <c r="D106" s="6" t="s">
        <v>200</v>
      </c>
      <c r="E106" s="6">
        <v>78</v>
      </c>
      <c r="F106" s="6" t="s">
        <v>26</v>
      </c>
      <c r="G106" s="6" t="s">
        <v>71</v>
      </c>
      <c r="H106" s="6" t="s">
        <v>17</v>
      </c>
      <c r="I106" s="6" t="s">
        <v>101</v>
      </c>
      <c r="J106" s="6" t="s">
        <v>102</v>
      </c>
      <c r="K106" s="11" t="s">
        <v>50</v>
      </c>
      <c r="L106" s="6">
        <v>2</v>
      </c>
      <c r="M106" s="7">
        <v>67410.740000000005</v>
      </c>
      <c r="N106" s="8">
        <v>85</v>
      </c>
    </row>
    <row r="107" spans="1:14" ht="15" customHeight="1" x14ac:dyDescent="0.45">
      <c r="A107" s="2" t="s">
        <v>253</v>
      </c>
      <c r="B107" s="76">
        <v>45545</v>
      </c>
      <c r="C107" s="76" t="b">
        <f t="shared" si="3"/>
        <v>1</v>
      </c>
      <c r="D107" s="2" t="s">
        <v>254</v>
      </c>
      <c r="E107" s="2">
        <v>33</v>
      </c>
      <c r="F107" s="2" t="s">
        <v>15</v>
      </c>
      <c r="G107" s="2" t="s">
        <v>68</v>
      </c>
      <c r="H107" s="2" t="s">
        <v>28</v>
      </c>
      <c r="I107" s="2" t="s">
        <v>101</v>
      </c>
      <c r="J107" s="2" t="s">
        <v>102</v>
      </c>
      <c r="K107" s="12" t="s">
        <v>58</v>
      </c>
      <c r="L107" s="2">
        <v>8</v>
      </c>
      <c r="M107" s="4">
        <v>15848.15</v>
      </c>
      <c r="N107" s="5">
        <v>76</v>
      </c>
    </row>
    <row r="108" spans="1:14" ht="15" customHeight="1" x14ac:dyDescent="0.45">
      <c r="A108" s="6" t="s">
        <v>255</v>
      </c>
      <c r="B108" s="76">
        <v>45551</v>
      </c>
      <c r="C108" s="76" t="b">
        <f t="shared" si="3"/>
        <v>1</v>
      </c>
      <c r="D108" s="6" t="s">
        <v>256</v>
      </c>
      <c r="E108" s="6">
        <v>39</v>
      </c>
      <c r="F108" s="6" t="s">
        <v>26</v>
      </c>
      <c r="G108" s="6" t="s">
        <v>16</v>
      </c>
      <c r="H108" s="6" t="s">
        <v>35</v>
      </c>
      <c r="I108" s="6" t="s">
        <v>64</v>
      </c>
      <c r="J108" s="6" t="s">
        <v>65</v>
      </c>
      <c r="K108" s="11" t="s">
        <v>50</v>
      </c>
      <c r="L108" s="6">
        <v>13</v>
      </c>
      <c r="M108" s="7">
        <v>25037.95</v>
      </c>
      <c r="N108" s="8">
        <v>70</v>
      </c>
    </row>
    <row r="109" spans="1:14" ht="15" customHeight="1" x14ac:dyDescent="0.45">
      <c r="A109" s="2" t="s">
        <v>257</v>
      </c>
      <c r="B109" s="76">
        <v>45520</v>
      </c>
      <c r="C109" s="76" t="b">
        <f t="shared" si="3"/>
        <v>1</v>
      </c>
      <c r="D109" s="2" t="s">
        <v>91</v>
      </c>
      <c r="E109" s="2">
        <v>73</v>
      </c>
      <c r="F109" s="2" t="s">
        <v>26</v>
      </c>
      <c r="G109" s="2" t="s">
        <v>71</v>
      </c>
      <c r="H109" s="2" t="s">
        <v>28</v>
      </c>
      <c r="I109" s="2" t="s">
        <v>101</v>
      </c>
      <c r="J109" s="2" t="s">
        <v>102</v>
      </c>
      <c r="K109" s="11" t="s">
        <v>50</v>
      </c>
      <c r="L109" s="2">
        <v>3</v>
      </c>
      <c r="M109" s="4">
        <v>45393.54</v>
      </c>
      <c r="N109" s="5">
        <v>81</v>
      </c>
    </row>
    <row r="110" spans="1:14" ht="15" customHeight="1" x14ac:dyDescent="0.45">
      <c r="A110" s="6" t="s">
        <v>258</v>
      </c>
      <c r="B110" s="76">
        <v>45327</v>
      </c>
      <c r="C110" s="76" t="b">
        <f t="shared" si="3"/>
        <v>1</v>
      </c>
      <c r="D110" s="6" t="s">
        <v>259</v>
      </c>
      <c r="E110" s="6">
        <v>80</v>
      </c>
      <c r="F110" s="6" t="s">
        <v>15</v>
      </c>
      <c r="G110" s="6" t="s">
        <v>27</v>
      </c>
      <c r="H110" s="6" t="s">
        <v>17</v>
      </c>
      <c r="I110" s="6" t="s">
        <v>29</v>
      </c>
      <c r="J110" s="6" t="s">
        <v>30</v>
      </c>
      <c r="K110" s="10" t="s">
        <v>42</v>
      </c>
      <c r="L110" s="6">
        <v>12</v>
      </c>
      <c r="M110" s="7">
        <v>47884.82</v>
      </c>
      <c r="N110" s="8">
        <v>77</v>
      </c>
    </row>
    <row r="111" spans="1:14" ht="15" customHeight="1" x14ac:dyDescent="0.45">
      <c r="A111" s="2" t="s">
        <v>260</v>
      </c>
      <c r="B111" s="76">
        <v>45625</v>
      </c>
      <c r="C111" s="76" t="b">
        <f t="shared" si="3"/>
        <v>1</v>
      </c>
      <c r="D111" s="2" t="s">
        <v>261</v>
      </c>
      <c r="E111" s="2">
        <v>42</v>
      </c>
      <c r="F111" s="2" t="s">
        <v>15</v>
      </c>
      <c r="G111" s="2" t="s">
        <v>16</v>
      </c>
      <c r="H111" s="2" t="s">
        <v>35</v>
      </c>
      <c r="I111" s="2" t="s">
        <v>64</v>
      </c>
      <c r="J111" s="2" t="s">
        <v>65</v>
      </c>
      <c r="K111" s="3" t="s">
        <v>20</v>
      </c>
      <c r="L111" s="2">
        <v>11</v>
      </c>
      <c r="M111" s="4">
        <v>78561.36</v>
      </c>
      <c r="N111" s="5">
        <v>85</v>
      </c>
    </row>
    <row r="112" spans="1:14" ht="15" customHeight="1" x14ac:dyDescent="0.45">
      <c r="A112" s="6" t="s">
        <v>262</v>
      </c>
      <c r="B112" s="76">
        <v>45517</v>
      </c>
      <c r="C112" s="76" t="b">
        <f t="shared" si="3"/>
        <v>1</v>
      </c>
      <c r="D112" s="6" t="s">
        <v>76</v>
      </c>
      <c r="E112" s="6">
        <v>73</v>
      </c>
      <c r="F112" s="6" t="s">
        <v>15</v>
      </c>
      <c r="G112" s="6" t="s">
        <v>45</v>
      </c>
      <c r="H112" s="6" t="s">
        <v>17</v>
      </c>
      <c r="I112" s="6" t="s">
        <v>77</v>
      </c>
      <c r="J112" s="6" t="s">
        <v>78</v>
      </c>
      <c r="K112" s="10" t="s">
        <v>42</v>
      </c>
      <c r="L112" s="6">
        <v>2</v>
      </c>
      <c r="M112" s="7">
        <v>12478.38</v>
      </c>
      <c r="N112" s="8">
        <v>99</v>
      </c>
    </row>
    <row r="113" spans="1:14" ht="15" customHeight="1" x14ac:dyDescent="0.45">
      <c r="A113" s="2" t="s">
        <v>263</v>
      </c>
      <c r="B113" s="76">
        <v>45427</v>
      </c>
      <c r="C113" s="76" t="b">
        <f t="shared" si="3"/>
        <v>1</v>
      </c>
      <c r="D113" s="2" t="s">
        <v>264</v>
      </c>
      <c r="E113" s="2">
        <v>22</v>
      </c>
      <c r="F113" s="2" t="s">
        <v>15</v>
      </c>
      <c r="G113" s="2" t="s">
        <v>27</v>
      </c>
      <c r="H113" s="2" t="s">
        <v>35</v>
      </c>
      <c r="I113" s="2" t="s">
        <v>36</v>
      </c>
      <c r="J113" s="2" t="s">
        <v>37</v>
      </c>
      <c r="K113" s="10" t="s">
        <v>42</v>
      </c>
      <c r="L113" s="2">
        <v>8</v>
      </c>
      <c r="M113" s="4">
        <v>30392.09</v>
      </c>
      <c r="N113" s="5">
        <v>92</v>
      </c>
    </row>
    <row r="114" spans="1:14" ht="15" customHeight="1" x14ac:dyDescent="0.45">
      <c r="A114" s="6" t="s">
        <v>265</v>
      </c>
      <c r="B114" s="76">
        <v>45612</v>
      </c>
      <c r="C114" s="76" t="b">
        <f t="shared" si="3"/>
        <v>1</v>
      </c>
      <c r="D114" s="6" t="s">
        <v>266</v>
      </c>
      <c r="E114" s="6">
        <v>79</v>
      </c>
      <c r="F114" s="6" t="s">
        <v>15</v>
      </c>
      <c r="G114" s="6" t="s">
        <v>16</v>
      </c>
      <c r="H114" s="6" t="s">
        <v>57</v>
      </c>
      <c r="I114" s="6" t="s">
        <v>64</v>
      </c>
      <c r="J114" s="6" t="s">
        <v>65</v>
      </c>
      <c r="K114" s="10" t="s">
        <v>42</v>
      </c>
      <c r="L114" s="6">
        <v>6</v>
      </c>
      <c r="M114" s="7">
        <v>58903.81</v>
      </c>
      <c r="N114" s="8">
        <v>94</v>
      </c>
    </row>
    <row r="115" spans="1:14" ht="15" customHeight="1" x14ac:dyDescent="0.45">
      <c r="A115" s="2" t="s">
        <v>267</v>
      </c>
      <c r="B115" s="76">
        <v>45439</v>
      </c>
      <c r="C115" s="76" t="b">
        <f t="shared" si="3"/>
        <v>1</v>
      </c>
      <c r="D115" s="2" t="s">
        <v>268</v>
      </c>
      <c r="E115" s="2">
        <v>58</v>
      </c>
      <c r="F115" s="2" t="s">
        <v>26</v>
      </c>
      <c r="G115" s="2" t="s">
        <v>68</v>
      </c>
      <c r="H115" s="2" t="s">
        <v>57</v>
      </c>
      <c r="I115" s="2" t="s">
        <v>29</v>
      </c>
      <c r="J115" s="2" t="s">
        <v>30</v>
      </c>
      <c r="K115" s="3" t="s">
        <v>20</v>
      </c>
      <c r="L115" s="2">
        <v>11</v>
      </c>
      <c r="M115" s="4">
        <v>79806.94</v>
      </c>
      <c r="N115" s="5">
        <v>93</v>
      </c>
    </row>
    <row r="116" spans="1:14" ht="15" customHeight="1" x14ac:dyDescent="0.45">
      <c r="A116" s="6" t="s">
        <v>269</v>
      </c>
      <c r="B116" s="76">
        <v>45328</v>
      </c>
      <c r="C116" s="76" t="b">
        <f t="shared" si="3"/>
        <v>1</v>
      </c>
      <c r="D116" s="6" t="s">
        <v>271</v>
      </c>
      <c r="E116" s="6">
        <v>28</v>
      </c>
      <c r="F116" s="6" t="s">
        <v>15</v>
      </c>
      <c r="G116" s="6" t="s">
        <v>27</v>
      </c>
      <c r="H116" s="6" t="s">
        <v>28</v>
      </c>
      <c r="I116" s="6" t="s">
        <v>101</v>
      </c>
      <c r="J116" s="6" t="s">
        <v>102</v>
      </c>
      <c r="K116" s="11" t="s">
        <v>50</v>
      </c>
      <c r="L116" s="6">
        <v>12</v>
      </c>
      <c r="M116" s="7">
        <v>72756.800000000003</v>
      </c>
      <c r="N116" s="8">
        <v>71</v>
      </c>
    </row>
    <row r="117" spans="1:14" ht="15" customHeight="1" x14ac:dyDescent="0.45">
      <c r="A117" s="2" t="s">
        <v>272</v>
      </c>
      <c r="B117" s="76">
        <v>45417</v>
      </c>
      <c r="C117" s="76" t="b">
        <f t="shared" si="3"/>
        <v>1</v>
      </c>
      <c r="D117" s="2" t="s">
        <v>73</v>
      </c>
      <c r="E117" s="2">
        <v>45</v>
      </c>
      <c r="F117" s="2" t="s">
        <v>15</v>
      </c>
      <c r="G117" s="2" t="s">
        <v>45</v>
      </c>
      <c r="H117" s="2" t="s">
        <v>57</v>
      </c>
      <c r="I117" s="2" t="s">
        <v>77</v>
      </c>
      <c r="J117" s="2" t="s">
        <v>78</v>
      </c>
      <c r="K117" s="9" t="s">
        <v>31</v>
      </c>
      <c r="L117" s="2">
        <v>3</v>
      </c>
      <c r="M117" s="4">
        <v>44837.47</v>
      </c>
      <c r="N117" s="5">
        <v>88</v>
      </c>
    </row>
    <row r="118" spans="1:14" ht="15" customHeight="1" x14ac:dyDescent="0.45">
      <c r="A118" s="6" t="s">
        <v>273</v>
      </c>
      <c r="B118" s="76">
        <v>45609</v>
      </c>
      <c r="C118" s="76" t="b">
        <f t="shared" si="3"/>
        <v>1</v>
      </c>
      <c r="D118" s="6" t="s">
        <v>274</v>
      </c>
      <c r="E118" s="6">
        <v>73</v>
      </c>
      <c r="F118" s="6" t="s">
        <v>15</v>
      </c>
      <c r="G118" s="6" t="s">
        <v>45</v>
      </c>
      <c r="H118" s="6" t="s">
        <v>17</v>
      </c>
      <c r="I118" s="6" t="s">
        <v>46</v>
      </c>
      <c r="J118" s="6" t="s">
        <v>47</v>
      </c>
      <c r="K118" s="12" t="s">
        <v>58</v>
      </c>
      <c r="L118" s="6">
        <v>7</v>
      </c>
      <c r="M118" s="7">
        <v>56235.09</v>
      </c>
      <c r="N118" s="8">
        <v>85</v>
      </c>
    </row>
    <row r="119" spans="1:14" ht="15" customHeight="1" x14ac:dyDescent="0.45">
      <c r="A119" s="2" t="s">
        <v>275</v>
      </c>
      <c r="B119" s="76">
        <v>45485</v>
      </c>
      <c r="C119" s="76" t="b">
        <f t="shared" si="3"/>
        <v>1</v>
      </c>
      <c r="D119" s="2" t="s">
        <v>276</v>
      </c>
      <c r="E119" s="2">
        <v>47</v>
      </c>
      <c r="F119" s="2" t="s">
        <v>26</v>
      </c>
      <c r="G119" s="2" t="s">
        <v>16</v>
      </c>
      <c r="H119" s="2" t="s">
        <v>54</v>
      </c>
      <c r="I119" s="2" t="s">
        <v>40</v>
      </c>
      <c r="J119" s="2" t="s">
        <v>41</v>
      </c>
      <c r="K119" s="10" t="s">
        <v>42</v>
      </c>
      <c r="L119" s="2">
        <v>5</v>
      </c>
      <c r="M119" s="4">
        <v>5704.81</v>
      </c>
      <c r="N119" s="5">
        <v>95</v>
      </c>
    </row>
    <row r="120" spans="1:14" ht="15" customHeight="1" x14ac:dyDescent="0.45">
      <c r="A120" s="6" t="s">
        <v>277</v>
      </c>
      <c r="B120" s="76">
        <v>45592</v>
      </c>
      <c r="C120" s="76" t="b">
        <f t="shared" si="3"/>
        <v>1</v>
      </c>
      <c r="D120" s="6" t="s">
        <v>278</v>
      </c>
      <c r="E120" s="6">
        <v>46</v>
      </c>
      <c r="F120" s="6" t="s">
        <v>26</v>
      </c>
      <c r="G120" s="6" t="s">
        <v>71</v>
      </c>
      <c r="H120" s="6" t="s">
        <v>28</v>
      </c>
      <c r="I120" s="6" t="s">
        <v>18</v>
      </c>
      <c r="J120" s="6" t="s">
        <v>19</v>
      </c>
      <c r="K120" s="10" t="s">
        <v>42</v>
      </c>
      <c r="L120" s="6">
        <v>6</v>
      </c>
      <c r="M120" s="7">
        <v>27436.57</v>
      </c>
      <c r="N120" s="8">
        <v>100</v>
      </c>
    </row>
    <row r="121" spans="1:14" ht="15" customHeight="1" x14ac:dyDescent="0.45">
      <c r="A121" s="2" t="s">
        <v>279</v>
      </c>
      <c r="B121" s="76">
        <v>45391</v>
      </c>
      <c r="C121" s="76" t="b">
        <f t="shared" si="3"/>
        <v>1</v>
      </c>
      <c r="D121" s="2" t="s">
        <v>162</v>
      </c>
      <c r="E121" s="2">
        <v>42</v>
      </c>
      <c r="F121" s="2" t="s">
        <v>26</v>
      </c>
      <c r="G121" s="2" t="s">
        <v>16</v>
      </c>
      <c r="H121" s="2" t="s">
        <v>28</v>
      </c>
      <c r="I121" s="2" t="s">
        <v>29</v>
      </c>
      <c r="J121" s="2" t="s">
        <v>30</v>
      </c>
      <c r="K121" s="12" t="s">
        <v>58</v>
      </c>
      <c r="L121" s="2">
        <v>14</v>
      </c>
      <c r="M121" s="4">
        <v>12999</v>
      </c>
      <c r="N121" s="5">
        <v>82</v>
      </c>
    </row>
    <row r="122" spans="1:14" ht="15" customHeight="1" x14ac:dyDescent="0.45">
      <c r="A122" s="6" t="s">
        <v>280</v>
      </c>
      <c r="B122" s="76">
        <v>45363</v>
      </c>
      <c r="C122" s="76" t="b">
        <f t="shared" si="3"/>
        <v>1</v>
      </c>
      <c r="D122" s="6" t="s">
        <v>282</v>
      </c>
      <c r="E122" s="6">
        <v>19</v>
      </c>
      <c r="F122" s="6" t="s">
        <v>15</v>
      </c>
      <c r="G122" s="6" t="s">
        <v>16</v>
      </c>
      <c r="H122" s="6" t="s">
        <v>17</v>
      </c>
      <c r="I122" s="6" t="s">
        <v>40</v>
      </c>
      <c r="J122" s="6" t="s">
        <v>41</v>
      </c>
      <c r="K122" s="12" t="s">
        <v>58</v>
      </c>
      <c r="L122" s="6">
        <v>14</v>
      </c>
      <c r="M122" s="7">
        <v>34685.43</v>
      </c>
      <c r="N122" s="8">
        <v>70</v>
      </c>
    </row>
    <row r="123" spans="1:14" ht="15" customHeight="1" x14ac:dyDescent="0.45">
      <c r="A123" s="2" t="s">
        <v>283</v>
      </c>
      <c r="B123" s="76">
        <v>45409</v>
      </c>
      <c r="C123" s="76" t="b">
        <f t="shared" si="3"/>
        <v>1</v>
      </c>
      <c r="D123" s="2" t="s">
        <v>97</v>
      </c>
      <c r="E123" s="2">
        <v>67</v>
      </c>
      <c r="F123" s="2" t="s">
        <v>15</v>
      </c>
      <c r="G123" s="2" t="s">
        <v>16</v>
      </c>
      <c r="H123" s="2" t="s">
        <v>28</v>
      </c>
      <c r="I123" s="2" t="s">
        <v>40</v>
      </c>
      <c r="J123" s="2" t="s">
        <v>41</v>
      </c>
      <c r="K123" s="9" t="s">
        <v>31</v>
      </c>
      <c r="L123" s="2">
        <v>13</v>
      </c>
      <c r="M123" s="4">
        <v>50529.87</v>
      </c>
      <c r="N123" s="5">
        <v>81</v>
      </c>
    </row>
    <row r="124" spans="1:14" ht="15" customHeight="1" x14ac:dyDescent="0.45">
      <c r="A124" s="6" t="s">
        <v>284</v>
      </c>
      <c r="B124" s="76">
        <v>45613</v>
      </c>
      <c r="C124" s="76" t="b">
        <f t="shared" si="3"/>
        <v>1</v>
      </c>
      <c r="D124" s="6" t="s">
        <v>285</v>
      </c>
      <c r="E124" s="6">
        <v>58</v>
      </c>
      <c r="F124" s="6" t="s">
        <v>15</v>
      </c>
      <c r="G124" s="6" t="s">
        <v>16</v>
      </c>
      <c r="H124" s="6" t="s">
        <v>28</v>
      </c>
      <c r="I124" s="6" t="s">
        <v>36</v>
      </c>
      <c r="J124" s="6" t="s">
        <v>37</v>
      </c>
      <c r="K124" s="10" t="s">
        <v>42</v>
      </c>
      <c r="L124" s="6">
        <v>2</v>
      </c>
      <c r="M124" s="7">
        <v>53475.55</v>
      </c>
      <c r="N124" s="8">
        <v>79</v>
      </c>
    </row>
    <row r="125" spans="1:14" ht="15" customHeight="1" x14ac:dyDescent="0.45">
      <c r="A125" s="2" t="s">
        <v>286</v>
      </c>
      <c r="B125" s="76">
        <v>45459</v>
      </c>
      <c r="C125" s="76" t="b">
        <f t="shared" si="3"/>
        <v>1</v>
      </c>
      <c r="D125" s="2" t="s">
        <v>33</v>
      </c>
      <c r="E125" s="2">
        <v>23</v>
      </c>
      <c r="F125" s="2" t="s">
        <v>15</v>
      </c>
      <c r="G125" s="2" t="s">
        <v>16</v>
      </c>
      <c r="H125" s="2" t="s">
        <v>28</v>
      </c>
      <c r="I125" s="2" t="s">
        <v>36</v>
      </c>
      <c r="J125" s="2" t="s">
        <v>37</v>
      </c>
      <c r="K125" s="9" t="s">
        <v>31</v>
      </c>
      <c r="L125" s="2">
        <v>5</v>
      </c>
      <c r="M125" s="4">
        <v>61061.06</v>
      </c>
      <c r="N125" s="5">
        <v>75</v>
      </c>
    </row>
    <row r="126" spans="1:14" ht="15" customHeight="1" x14ac:dyDescent="0.45">
      <c r="A126" s="6" t="s">
        <v>287</v>
      </c>
      <c r="B126" s="76">
        <v>45376</v>
      </c>
      <c r="C126" s="76" t="b">
        <f t="shared" si="3"/>
        <v>1</v>
      </c>
      <c r="D126" s="6" t="s">
        <v>242</v>
      </c>
      <c r="E126" s="6">
        <v>50</v>
      </c>
      <c r="F126" s="6" t="s">
        <v>26</v>
      </c>
      <c r="G126" s="6" t="s">
        <v>27</v>
      </c>
      <c r="H126" s="6" t="s">
        <v>57</v>
      </c>
      <c r="I126" s="6" t="s">
        <v>88</v>
      </c>
      <c r="J126" s="6" t="s">
        <v>89</v>
      </c>
      <c r="K126" s="10" t="s">
        <v>42</v>
      </c>
      <c r="L126" s="6">
        <v>5</v>
      </c>
      <c r="M126" s="7">
        <v>24272.76</v>
      </c>
      <c r="N126" s="8">
        <v>96</v>
      </c>
    </row>
    <row r="127" spans="1:14" ht="15" customHeight="1" x14ac:dyDescent="0.45">
      <c r="A127" s="2" t="s">
        <v>288</v>
      </c>
      <c r="B127" s="76">
        <v>45364</v>
      </c>
      <c r="C127" s="76" t="b">
        <f t="shared" si="3"/>
        <v>1</v>
      </c>
      <c r="D127" s="2" t="s">
        <v>289</v>
      </c>
      <c r="E127" s="2">
        <v>79</v>
      </c>
      <c r="F127" s="2" t="s">
        <v>26</v>
      </c>
      <c r="G127" s="2" t="s">
        <v>68</v>
      </c>
      <c r="H127" s="2" t="s">
        <v>17</v>
      </c>
      <c r="I127" s="2" t="s">
        <v>101</v>
      </c>
      <c r="J127" s="2" t="s">
        <v>102</v>
      </c>
      <c r="K127" s="10" t="s">
        <v>42</v>
      </c>
      <c r="L127" s="2">
        <v>2</v>
      </c>
      <c r="M127" s="4">
        <v>61561.36</v>
      </c>
      <c r="N127" s="5">
        <v>77</v>
      </c>
    </row>
    <row r="128" spans="1:14" ht="15" customHeight="1" x14ac:dyDescent="0.45">
      <c r="A128" s="6" t="s">
        <v>290</v>
      </c>
      <c r="B128" s="76">
        <v>45385</v>
      </c>
      <c r="C128" s="76" t="b">
        <f t="shared" si="3"/>
        <v>1</v>
      </c>
      <c r="D128" s="6" t="s">
        <v>140</v>
      </c>
      <c r="E128" s="6">
        <v>34</v>
      </c>
      <c r="F128" s="6" t="s">
        <v>26</v>
      </c>
      <c r="G128" s="6" t="s">
        <v>27</v>
      </c>
      <c r="H128" s="6" t="s">
        <v>57</v>
      </c>
      <c r="I128" s="6" t="s">
        <v>23</v>
      </c>
      <c r="J128" s="6" t="s">
        <v>24</v>
      </c>
      <c r="K128" s="11" t="s">
        <v>50</v>
      </c>
      <c r="L128" s="6">
        <v>9</v>
      </c>
      <c r="M128" s="7">
        <v>39108.949999999997</v>
      </c>
      <c r="N128" s="8">
        <v>91</v>
      </c>
    </row>
    <row r="129" spans="1:14" ht="15" customHeight="1" x14ac:dyDescent="0.45">
      <c r="A129" s="2" t="s">
        <v>291</v>
      </c>
      <c r="B129" s="76">
        <v>45609</v>
      </c>
      <c r="C129" s="76" t="b">
        <f t="shared" si="3"/>
        <v>1</v>
      </c>
      <c r="D129" s="2" t="s">
        <v>122</v>
      </c>
      <c r="E129" s="2">
        <v>48</v>
      </c>
      <c r="F129" s="2" t="s">
        <v>15</v>
      </c>
      <c r="G129" s="2" t="s">
        <v>68</v>
      </c>
      <c r="H129" s="2" t="s">
        <v>17</v>
      </c>
      <c r="I129" s="2" t="s">
        <v>29</v>
      </c>
      <c r="J129" s="2" t="s">
        <v>30</v>
      </c>
      <c r="K129" s="11" t="s">
        <v>50</v>
      </c>
      <c r="L129" s="2">
        <v>1</v>
      </c>
      <c r="M129" s="4">
        <v>71317.61</v>
      </c>
      <c r="N129" s="5">
        <v>87</v>
      </c>
    </row>
    <row r="130" spans="1:14" ht="15" customHeight="1" x14ac:dyDescent="0.45">
      <c r="A130" s="6" t="s">
        <v>292</v>
      </c>
      <c r="B130" s="76">
        <v>45351</v>
      </c>
      <c r="C130" s="76" t="b">
        <f t="shared" si="3"/>
        <v>1</v>
      </c>
      <c r="D130" s="6" t="s">
        <v>139</v>
      </c>
      <c r="E130" s="6">
        <v>59</v>
      </c>
      <c r="F130" s="6" t="s">
        <v>26</v>
      </c>
      <c r="G130" s="6" t="s">
        <v>71</v>
      </c>
      <c r="H130" s="6" t="s">
        <v>57</v>
      </c>
      <c r="I130" s="6" t="s">
        <v>40</v>
      </c>
      <c r="J130" s="6" t="s">
        <v>41</v>
      </c>
      <c r="K130" s="3" t="s">
        <v>20</v>
      </c>
      <c r="L130" s="6">
        <v>7</v>
      </c>
      <c r="M130" s="7">
        <v>15483.28</v>
      </c>
      <c r="N130" s="8">
        <v>100</v>
      </c>
    </row>
    <row r="131" spans="1:14" ht="15" customHeight="1" x14ac:dyDescent="0.45">
      <c r="A131" s="2" t="s">
        <v>293</v>
      </c>
      <c r="B131" s="76">
        <v>45568</v>
      </c>
      <c r="C131" s="76" t="b">
        <f t="shared" ref="C131:C162" si="4">ISNUMBER(B131)</f>
        <v>1</v>
      </c>
      <c r="D131" s="2" t="s">
        <v>295</v>
      </c>
      <c r="E131" s="2">
        <v>33</v>
      </c>
      <c r="F131" s="2" t="s">
        <v>26</v>
      </c>
      <c r="G131" s="2" t="s">
        <v>16</v>
      </c>
      <c r="H131" s="2" t="s">
        <v>54</v>
      </c>
      <c r="I131" s="2" t="s">
        <v>18</v>
      </c>
      <c r="J131" s="2" t="s">
        <v>19</v>
      </c>
      <c r="K131" s="12" t="s">
        <v>58</v>
      </c>
      <c r="L131" s="2">
        <v>9</v>
      </c>
      <c r="M131" s="4">
        <v>34148.44</v>
      </c>
      <c r="N131" s="5">
        <v>81</v>
      </c>
    </row>
    <row r="132" spans="1:14" ht="15" customHeight="1" x14ac:dyDescent="0.45">
      <c r="A132" s="6" t="s">
        <v>296</v>
      </c>
      <c r="B132" s="76">
        <v>45482</v>
      </c>
      <c r="C132" s="76" t="b">
        <f t="shared" si="4"/>
        <v>1</v>
      </c>
      <c r="D132" s="6" t="s">
        <v>238</v>
      </c>
      <c r="E132" s="6">
        <v>59</v>
      </c>
      <c r="F132" s="6" t="s">
        <v>15</v>
      </c>
      <c r="G132" s="6" t="s">
        <v>27</v>
      </c>
      <c r="H132" s="6" t="s">
        <v>54</v>
      </c>
      <c r="I132" s="6" t="s">
        <v>64</v>
      </c>
      <c r="J132" s="6" t="s">
        <v>65</v>
      </c>
      <c r="K132" s="11" t="s">
        <v>50</v>
      </c>
      <c r="L132" s="6">
        <v>2</v>
      </c>
      <c r="M132" s="7">
        <v>51173.919999999998</v>
      </c>
      <c r="N132" s="8">
        <v>100</v>
      </c>
    </row>
    <row r="133" spans="1:14" ht="15" customHeight="1" x14ac:dyDescent="0.45">
      <c r="A133" s="2" t="s">
        <v>297</v>
      </c>
      <c r="B133" s="76">
        <v>45389</v>
      </c>
      <c r="C133" s="76" t="b">
        <f t="shared" si="4"/>
        <v>1</v>
      </c>
      <c r="D133" s="2" t="s">
        <v>298</v>
      </c>
      <c r="E133" s="2">
        <v>46</v>
      </c>
      <c r="F133" s="2" t="s">
        <v>26</v>
      </c>
      <c r="G133" s="2" t="s">
        <v>68</v>
      </c>
      <c r="H133" s="2" t="s">
        <v>17</v>
      </c>
      <c r="I133" s="2" t="s">
        <v>101</v>
      </c>
      <c r="J133" s="2" t="s">
        <v>102</v>
      </c>
      <c r="K133" s="11" t="s">
        <v>50</v>
      </c>
      <c r="L133" s="2">
        <v>4</v>
      </c>
      <c r="M133" s="4">
        <v>12451.6</v>
      </c>
      <c r="N133" s="5">
        <v>91</v>
      </c>
    </row>
    <row r="134" spans="1:14" ht="15" customHeight="1" x14ac:dyDescent="0.45">
      <c r="A134" s="6" t="s">
        <v>299</v>
      </c>
      <c r="B134" s="76">
        <v>45524</v>
      </c>
      <c r="C134" s="76" t="b">
        <f t="shared" si="4"/>
        <v>1</v>
      </c>
      <c r="D134" s="6" t="s">
        <v>62</v>
      </c>
      <c r="E134" s="6">
        <v>30</v>
      </c>
      <c r="F134" s="6" t="s">
        <v>15</v>
      </c>
      <c r="G134" s="6" t="s">
        <v>68</v>
      </c>
      <c r="H134" s="6" t="s">
        <v>28</v>
      </c>
      <c r="I134" s="6" t="s">
        <v>40</v>
      </c>
      <c r="J134" s="6" t="s">
        <v>41</v>
      </c>
      <c r="K134" s="12" t="s">
        <v>58</v>
      </c>
      <c r="L134" s="6">
        <v>2</v>
      </c>
      <c r="M134" s="7">
        <v>11875.51</v>
      </c>
      <c r="N134" s="8">
        <v>76</v>
      </c>
    </row>
    <row r="135" spans="1:14" ht="15" customHeight="1" x14ac:dyDescent="0.45">
      <c r="A135" s="2" t="s">
        <v>300</v>
      </c>
      <c r="B135" s="76">
        <v>45581</v>
      </c>
      <c r="C135" s="76" t="b">
        <f t="shared" si="4"/>
        <v>1</v>
      </c>
      <c r="D135" s="2" t="s">
        <v>302</v>
      </c>
      <c r="E135" s="2">
        <v>26</v>
      </c>
      <c r="F135" s="2" t="s">
        <v>15</v>
      </c>
      <c r="G135" s="2" t="s">
        <v>16</v>
      </c>
      <c r="H135" s="2" t="s">
        <v>54</v>
      </c>
      <c r="I135" s="2" t="s">
        <v>29</v>
      </c>
      <c r="J135" s="2" t="s">
        <v>30</v>
      </c>
      <c r="K135" s="12" t="s">
        <v>58</v>
      </c>
      <c r="L135" s="2">
        <v>13</v>
      </c>
      <c r="M135" s="4">
        <v>20390.419999999998</v>
      </c>
      <c r="N135" s="5">
        <v>96</v>
      </c>
    </row>
    <row r="136" spans="1:14" ht="15" customHeight="1" x14ac:dyDescent="0.45">
      <c r="A136" s="6" t="s">
        <v>303</v>
      </c>
      <c r="B136" s="76">
        <v>45367</v>
      </c>
      <c r="C136" s="76" t="b">
        <f t="shared" si="4"/>
        <v>1</v>
      </c>
      <c r="D136" s="6" t="s">
        <v>304</v>
      </c>
      <c r="E136" s="6">
        <v>39</v>
      </c>
      <c r="F136" s="6" t="s">
        <v>26</v>
      </c>
      <c r="G136" s="6" t="s">
        <v>45</v>
      </c>
      <c r="H136" s="6" t="s">
        <v>54</v>
      </c>
      <c r="I136" s="6" t="s">
        <v>29</v>
      </c>
      <c r="J136" s="6" t="s">
        <v>30</v>
      </c>
      <c r="K136" s="3" t="s">
        <v>20</v>
      </c>
      <c r="L136" s="6">
        <v>13</v>
      </c>
      <c r="M136" s="7">
        <v>64148.28</v>
      </c>
      <c r="N136" s="8">
        <v>89</v>
      </c>
    </row>
    <row r="137" spans="1:14" ht="15" customHeight="1" x14ac:dyDescent="0.45">
      <c r="A137" s="2" t="s">
        <v>305</v>
      </c>
      <c r="B137" s="76">
        <v>45381</v>
      </c>
      <c r="C137" s="76" t="b">
        <f t="shared" si="4"/>
        <v>1</v>
      </c>
      <c r="D137" s="2" t="s">
        <v>190</v>
      </c>
      <c r="E137" s="2">
        <v>34</v>
      </c>
      <c r="F137" s="2" t="s">
        <v>15</v>
      </c>
      <c r="G137" s="2" t="s">
        <v>68</v>
      </c>
      <c r="H137" s="2" t="s">
        <v>28</v>
      </c>
      <c r="I137" s="2" t="s">
        <v>88</v>
      </c>
      <c r="J137" s="2" t="s">
        <v>89</v>
      </c>
      <c r="K137" s="3" t="s">
        <v>20</v>
      </c>
      <c r="L137" s="2">
        <v>13</v>
      </c>
      <c r="M137" s="4">
        <v>13244.48</v>
      </c>
      <c r="N137" s="5">
        <v>97</v>
      </c>
    </row>
    <row r="138" spans="1:14" ht="15" customHeight="1" x14ac:dyDescent="0.45">
      <c r="A138" s="6" t="s">
        <v>306</v>
      </c>
      <c r="B138" s="76">
        <v>45536</v>
      </c>
      <c r="C138" s="76" t="b">
        <f t="shared" si="4"/>
        <v>1</v>
      </c>
      <c r="D138" s="6" t="s">
        <v>307</v>
      </c>
      <c r="E138" s="6">
        <v>55</v>
      </c>
      <c r="F138" s="6" t="s">
        <v>26</v>
      </c>
      <c r="G138" s="6" t="s">
        <v>16</v>
      </c>
      <c r="H138" s="6" t="s">
        <v>57</v>
      </c>
      <c r="I138" s="6" t="s">
        <v>29</v>
      </c>
      <c r="J138" s="6" t="s">
        <v>30</v>
      </c>
      <c r="K138" s="9" t="s">
        <v>31</v>
      </c>
      <c r="L138" s="6">
        <v>6</v>
      </c>
      <c r="M138" s="7">
        <v>18068.47</v>
      </c>
      <c r="N138" s="8">
        <v>71</v>
      </c>
    </row>
    <row r="139" spans="1:14" ht="15" customHeight="1" x14ac:dyDescent="0.45">
      <c r="A139" s="2" t="s">
        <v>308</v>
      </c>
      <c r="B139" s="76">
        <v>45389</v>
      </c>
      <c r="C139" s="76" t="b">
        <f t="shared" si="4"/>
        <v>1</v>
      </c>
      <c r="D139" s="2" t="s">
        <v>309</v>
      </c>
      <c r="E139" s="2">
        <v>48</v>
      </c>
      <c r="F139" s="2" t="s">
        <v>15</v>
      </c>
      <c r="G139" s="2" t="s">
        <v>16</v>
      </c>
      <c r="H139" s="2" t="s">
        <v>57</v>
      </c>
      <c r="I139" s="2" t="s">
        <v>18</v>
      </c>
      <c r="J139" s="2" t="s">
        <v>19</v>
      </c>
      <c r="K139" s="10" t="s">
        <v>42</v>
      </c>
      <c r="L139" s="2">
        <v>8</v>
      </c>
      <c r="M139" s="4">
        <v>43492.85</v>
      </c>
      <c r="N139" s="5">
        <v>73</v>
      </c>
    </row>
    <row r="140" spans="1:14" ht="15" customHeight="1" x14ac:dyDescent="0.45">
      <c r="A140" s="6" t="s">
        <v>310</v>
      </c>
      <c r="B140" s="76">
        <v>45621</v>
      </c>
      <c r="C140" s="76" t="b">
        <f t="shared" si="4"/>
        <v>1</v>
      </c>
      <c r="D140" s="6" t="s">
        <v>281</v>
      </c>
      <c r="E140" s="6">
        <v>37</v>
      </c>
      <c r="F140" s="6" t="s">
        <v>26</v>
      </c>
      <c r="G140" s="6" t="s">
        <v>71</v>
      </c>
      <c r="H140" s="6" t="s">
        <v>57</v>
      </c>
      <c r="I140" s="6" t="s">
        <v>88</v>
      </c>
      <c r="J140" s="6" t="s">
        <v>89</v>
      </c>
      <c r="K140" s="10" t="s">
        <v>42</v>
      </c>
      <c r="L140" s="6">
        <v>8</v>
      </c>
      <c r="M140" s="7">
        <v>77301.960000000006</v>
      </c>
      <c r="N140" s="8">
        <v>71</v>
      </c>
    </row>
    <row r="141" spans="1:14" ht="15" customHeight="1" x14ac:dyDescent="0.45">
      <c r="A141" s="2" t="s">
        <v>311</v>
      </c>
      <c r="B141" s="76">
        <v>45475</v>
      </c>
      <c r="C141" s="76" t="b">
        <f t="shared" si="4"/>
        <v>1</v>
      </c>
      <c r="D141" s="2" t="s">
        <v>221</v>
      </c>
      <c r="E141" s="2">
        <v>63</v>
      </c>
      <c r="F141" s="2" t="s">
        <v>15</v>
      </c>
      <c r="G141" s="2" t="s">
        <v>68</v>
      </c>
      <c r="H141" s="2" t="s">
        <v>54</v>
      </c>
      <c r="I141" s="2" t="s">
        <v>101</v>
      </c>
      <c r="J141" s="2" t="s">
        <v>102</v>
      </c>
      <c r="K141" s="12" t="s">
        <v>58</v>
      </c>
      <c r="L141" s="2">
        <v>8</v>
      </c>
      <c r="M141" s="4">
        <v>72445.009999999995</v>
      </c>
      <c r="N141" s="5">
        <v>80</v>
      </c>
    </row>
    <row r="142" spans="1:14" ht="15" customHeight="1" x14ac:dyDescent="0.45">
      <c r="A142" s="6" t="s">
        <v>312</v>
      </c>
      <c r="B142" s="76">
        <v>45591</v>
      </c>
      <c r="C142" s="76" t="b">
        <f t="shared" si="4"/>
        <v>1</v>
      </c>
      <c r="D142" s="6" t="s">
        <v>313</v>
      </c>
      <c r="E142" s="6">
        <v>57</v>
      </c>
      <c r="F142" s="6" t="s">
        <v>26</v>
      </c>
      <c r="G142" s="6" t="s">
        <v>71</v>
      </c>
      <c r="H142" s="6" t="s">
        <v>35</v>
      </c>
      <c r="I142" s="6" t="s">
        <v>40</v>
      </c>
      <c r="J142" s="6" t="s">
        <v>41</v>
      </c>
      <c r="K142" s="10" t="s">
        <v>42</v>
      </c>
      <c r="L142" s="6">
        <v>11</v>
      </c>
      <c r="M142" s="7">
        <v>46126.73</v>
      </c>
      <c r="N142" s="8">
        <v>80</v>
      </c>
    </row>
    <row r="143" spans="1:14" ht="15" customHeight="1" x14ac:dyDescent="0.45">
      <c r="A143" s="2" t="s">
        <v>314</v>
      </c>
      <c r="B143" s="76">
        <v>45651</v>
      </c>
      <c r="C143" s="76" t="b">
        <f t="shared" si="4"/>
        <v>1</v>
      </c>
      <c r="D143" s="2" t="s">
        <v>315</v>
      </c>
      <c r="E143" s="2">
        <v>45</v>
      </c>
      <c r="F143" s="2" t="s">
        <v>15</v>
      </c>
      <c r="G143" s="2" t="s">
        <v>71</v>
      </c>
      <c r="H143" s="2" t="s">
        <v>17</v>
      </c>
      <c r="I143" s="2" t="s">
        <v>46</v>
      </c>
      <c r="J143" s="2" t="s">
        <v>47</v>
      </c>
      <c r="K143" s="12" t="s">
        <v>58</v>
      </c>
      <c r="L143" s="2">
        <v>2</v>
      </c>
      <c r="M143" s="4">
        <v>13581.06</v>
      </c>
      <c r="N143" s="5">
        <v>90</v>
      </c>
    </row>
    <row r="144" spans="1:14" ht="15" customHeight="1" x14ac:dyDescent="0.45">
      <c r="A144" s="6" t="s">
        <v>316</v>
      </c>
      <c r="B144" s="76">
        <v>45524</v>
      </c>
      <c r="C144" s="76" t="b">
        <f t="shared" si="4"/>
        <v>1</v>
      </c>
      <c r="D144" s="6" t="s">
        <v>193</v>
      </c>
      <c r="E144" s="6">
        <v>44</v>
      </c>
      <c r="F144" s="6" t="s">
        <v>26</v>
      </c>
      <c r="G144" s="6" t="s">
        <v>71</v>
      </c>
      <c r="H144" s="6" t="s">
        <v>28</v>
      </c>
      <c r="I144" s="6" t="s">
        <v>29</v>
      </c>
      <c r="J144" s="6" t="s">
        <v>30</v>
      </c>
      <c r="K144" s="3" t="s">
        <v>20</v>
      </c>
      <c r="L144" s="6">
        <v>6</v>
      </c>
      <c r="M144" s="7">
        <v>34904.76</v>
      </c>
      <c r="N144" s="8">
        <v>93</v>
      </c>
    </row>
    <row r="145" spans="1:14" ht="15" customHeight="1" x14ac:dyDescent="0.45">
      <c r="A145" s="2" t="s">
        <v>317</v>
      </c>
      <c r="B145" s="76">
        <v>45643</v>
      </c>
      <c r="C145" s="76" t="b">
        <f t="shared" si="4"/>
        <v>1</v>
      </c>
      <c r="D145" s="2" t="s">
        <v>318</v>
      </c>
      <c r="E145" s="2">
        <v>41</v>
      </c>
      <c r="F145" s="2" t="s">
        <v>15</v>
      </c>
      <c r="G145" s="2" t="s">
        <v>68</v>
      </c>
      <c r="H145" s="2" t="s">
        <v>17</v>
      </c>
      <c r="I145" s="2" t="s">
        <v>40</v>
      </c>
      <c r="J145" s="2" t="s">
        <v>41</v>
      </c>
      <c r="K145" s="3" t="s">
        <v>20</v>
      </c>
      <c r="L145" s="2">
        <v>3</v>
      </c>
      <c r="M145" s="4">
        <v>74223.88</v>
      </c>
      <c r="N145" s="5">
        <v>72</v>
      </c>
    </row>
    <row r="146" spans="1:14" ht="15" customHeight="1" x14ac:dyDescent="0.45">
      <c r="A146" s="6" t="s">
        <v>319</v>
      </c>
      <c r="B146" s="76">
        <v>45542</v>
      </c>
      <c r="C146" s="76" t="b">
        <f t="shared" si="4"/>
        <v>1</v>
      </c>
      <c r="D146" s="6" t="s">
        <v>124</v>
      </c>
      <c r="E146" s="6">
        <v>65</v>
      </c>
      <c r="F146" s="6" t="s">
        <v>26</v>
      </c>
      <c r="G146" s="6" t="s">
        <v>68</v>
      </c>
      <c r="H146" s="6" t="s">
        <v>17</v>
      </c>
      <c r="I146" s="6" t="s">
        <v>18</v>
      </c>
      <c r="J146" s="6" t="s">
        <v>19</v>
      </c>
      <c r="K146" s="3" t="s">
        <v>20</v>
      </c>
      <c r="L146" s="6">
        <v>12</v>
      </c>
      <c r="M146" s="7">
        <v>65882.7</v>
      </c>
      <c r="N146" s="8">
        <v>87</v>
      </c>
    </row>
    <row r="147" spans="1:14" ht="15" customHeight="1" x14ac:dyDescent="0.45">
      <c r="A147" s="2" t="s">
        <v>321</v>
      </c>
      <c r="B147" s="76">
        <v>45390</v>
      </c>
      <c r="C147" s="76" t="b">
        <f t="shared" si="4"/>
        <v>1</v>
      </c>
      <c r="D147" s="2" t="s">
        <v>76</v>
      </c>
      <c r="E147" s="2">
        <v>73</v>
      </c>
      <c r="F147" s="2" t="s">
        <v>26</v>
      </c>
      <c r="G147" s="2" t="s">
        <v>16</v>
      </c>
      <c r="H147" s="2" t="s">
        <v>28</v>
      </c>
      <c r="I147" s="2" t="s">
        <v>77</v>
      </c>
      <c r="J147" s="2" t="s">
        <v>78</v>
      </c>
      <c r="K147" s="3" t="s">
        <v>20</v>
      </c>
      <c r="L147" s="2">
        <v>11</v>
      </c>
      <c r="M147" s="4">
        <v>70106.91</v>
      </c>
      <c r="N147" s="5">
        <v>93</v>
      </c>
    </row>
    <row r="148" spans="1:14" ht="15" customHeight="1" x14ac:dyDescent="0.45">
      <c r="A148" s="6" t="s">
        <v>323</v>
      </c>
      <c r="B148" s="76">
        <v>45551</v>
      </c>
      <c r="C148" s="76" t="b">
        <f t="shared" si="4"/>
        <v>1</v>
      </c>
      <c r="D148" s="6" t="s">
        <v>248</v>
      </c>
      <c r="E148" s="6">
        <v>24</v>
      </c>
      <c r="F148" s="6" t="s">
        <v>15</v>
      </c>
      <c r="G148" s="6" t="s">
        <v>68</v>
      </c>
      <c r="H148" s="6" t="s">
        <v>28</v>
      </c>
      <c r="I148" s="6" t="s">
        <v>77</v>
      </c>
      <c r="J148" s="6" t="s">
        <v>78</v>
      </c>
      <c r="K148" s="10" t="s">
        <v>42</v>
      </c>
      <c r="L148" s="6">
        <v>10</v>
      </c>
      <c r="M148" s="7">
        <v>20955.41</v>
      </c>
      <c r="N148" s="8">
        <v>91</v>
      </c>
    </row>
    <row r="149" spans="1:14" ht="15" customHeight="1" x14ac:dyDescent="0.45">
      <c r="A149" s="2" t="s">
        <v>324</v>
      </c>
      <c r="B149" s="76">
        <v>45434</v>
      </c>
      <c r="C149" s="76" t="b">
        <f t="shared" si="4"/>
        <v>1</v>
      </c>
      <c r="D149" s="2" t="s">
        <v>325</v>
      </c>
      <c r="E149" s="2">
        <v>41</v>
      </c>
      <c r="F149" s="2" t="s">
        <v>15</v>
      </c>
      <c r="G149" s="2" t="s">
        <v>16</v>
      </c>
      <c r="H149" s="2" t="s">
        <v>28</v>
      </c>
      <c r="I149" s="2" t="s">
        <v>88</v>
      </c>
      <c r="J149" s="2" t="s">
        <v>89</v>
      </c>
      <c r="K149" s="10" t="s">
        <v>42</v>
      </c>
      <c r="L149" s="2">
        <v>2</v>
      </c>
      <c r="M149" s="4">
        <v>48057.5</v>
      </c>
      <c r="N149" s="5">
        <v>95</v>
      </c>
    </row>
    <row r="150" spans="1:14" ht="15" customHeight="1" x14ac:dyDescent="0.45">
      <c r="A150" s="6" t="s">
        <v>326</v>
      </c>
      <c r="B150" s="76">
        <v>45651</v>
      </c>
      <c r="C150" s="76" t="b">
        <f t="shared" si="4"/>
        <v>1</v>
      </c>
      <c r="D150" s="6" t="s">
        <v>53</v>
      </c>
      <c r="E150" s="6">
        <v>29</v>
      </c>
      <c r="F150" s="6" t="s">
        <v>26</v>
      </c>
      <c r="G150" s="6" t="s">
        <v>68</v>
      </c>
      <c r="H150" s="6" t="s">
        <v>54</v>
      </c>
      <c r="I150" s="6" t="s">
        <v>23</v>
      </c>
      <c r="J150" s="6" t="s">
        <v>24</v>
      </c>
      <c r="K150" s="11" t="s">
        <v>50</v>
      </c>
      <c r="L150" s="6">
        <v>5</v>
      </c>
      <c r="M150" s="7">
        <v>62180.71</v>
      </c>
      <c r="N150" s="8">
        <v>99</v>
      </c>
    </row>
    <row r="151" spans="1:14" ht="15" customHeight="1" x14ac:dyDescent="0.45">
      <c r="A151" s="2" t="s">
        <v>327</v>
      </c>
      <c r="B151" s="76">
        <v>45497</v>
      </c>
      <c r="C151" s="76" t="b">
        <f t="shared" si="4"/>
        <v>1</v>
      </c>
      <c r="D151" s="2" t="s">
        <v>322</v>
      </c>
      <c r="E151" s="2">
        <v>54</v>
      </c>
      <c r="F151" s="2" t="s">
        <v>15</v>
      </c>
      <c r="G151" s="2" t="s">
        <v>16</v>
      </c>
      <c r="H151" s="2" t="s">
        <v>54</v>
      </c>
      <c r="I151" s="2" t="s">
        <v>36</v>
      </c>
      <c r="J151" s="2" t="s">
        <v>37</v>
      </c>
      <c r="K151" s="3" t="s">
        <v>20</v>
      </c>
      <c r="L151" s="2">
        <v>11</v>
      </c>
      <c r="M151" s="4">
        <v>10218.91</v>
      </c>
      <c r="N151" s="5">
        <v>93</v>
      </c>
    </row>
    <row r="152" spans="1:14" ht="15" customHeight="1" x14ac:dyDescent="0.45">
      <c r="A152" s="6" t="s">
        <v>328</v>
      </c>
      <c r="B152" s="76">
        <v>45466</v>
      </c>
      <c r="C152" s="76" t="b">
        <f t="shared" si="4"/>
        <v>1</v>
      </c>
      <c r="D152" s="6" t="s">
        <v>329</v>
      </c>
      <c r="E152" s="6">
        <v>44</v>
      </c>
      <c r="F152" s="6" t="s">
        <v>15</v>
      </c>
      <c r="G152" s="6" t="s">
        <v>68</v>
      </c>
      <c r="H152" s="6" t="s">
        <v>54</v>
      </c>
      <c r="I152" s="6" t="s">
        <v>64</v>
      </c>
      <c r="J152" s="6" t="s">
        <v>65</v>
      </c>
      <c r="K152" s="11" t="s">
        <v>50</v>
      </c>
      <c r="L152" s="6">
        <v>8</v>
      </c>
      <c r="M152" s="7">
        <v>16805.7</v>
      </c>
      <c r="N152" s="8">
        <v>79</v>
      </c>
    </row>
    <row r="153" spans="1:14" ht="15" customHeight="1" x14ac:dyDescent="0.45">
      <c r="A153" s="2" t="s">
        <v>330</v>
      </c>
      <c r="B153" s="76">
        <v>45317</v>
      </c>
      <c r="C153" s="76" t="b">
        <f t="shared" si="4"/>
        <v>1</v>
      </c>
      <c r="D153" s="2" t="s">
        <v>104</v>
      </c>
      <c r="E153" s="2">
        <v>66</v>
      </c>
      <c r="F153" s="2" t="s">
        <v>26</v>
      </c>
      <c r="G153" s="2" t="s">
        <v>71</v>
      </c>
      <c r="H153" s="2" t="s">
        <v>35</v>
      </c>
      <c r="I153" s="2" t="s">
        <v>36</v>
      </c>
      <c r="J153" s="2" t="s">
        <v>37</v>
      </c>
      <c r="K153" s="10" t="s">
        <v>42</v>
      </c>
      <c r="L153" s="2">
        <v>10</v>
      </c>
      <c r="M153" s="4">
        <v>55547.65</v>
      </c>
      <c r="N153" s="5">
        <v>78</v>
      </c>
    </row>
    <row r="154" spans="1:14" ht="15" customHeight="1" x14ac:dyDescent="0.45">
      <c r="A154" s="6" t="s">
        <v>331</v>
      </c>
      <c r="B154" s="76">
        <v>45402</v>
      </c>
      <c r="C154" s="76" t="b">
        <f t="shared" si="4"/>
        <v>1</v>
      </c>
      <c r="D154" s="6" t="s">
        <v>332</v>
      </c>
      <c r="E154" s="6">
        <v>44</v>
      </c>
      <c r="F154" s="6" t="s">
        <v>26</v>
      </c>
      <c r="G154" s="6" t="s">
        <v>68</v>
      </c>
      <c r="H154" s="6" t="s">
        <v>28</v>
      </c>
      <c r="I154" s="6" t="s">
        <v>101</v>
      </c>
      <c r="J154" s="6" t="s">
        <v>102</v>
      </c>
      <c r="K154" s="11" t="s">
        <v>50</v>
      </c>
      <c r="L154" s="6">
        <v>5</v>
      </c>
      <c r="M154" s="7">
        <v>61620.74</v>
      </c>
      <c r="N154" s="8">
        <v>73</v>
      </c>
    </row>
    <row r="155" spans="1:14" ht="15" customHeight="1" x14ac:dyDescent="0.45">
      <c r="A155" s="2" t="s">
        <v>333</v>
      </c>
      <c r="B155" s="76">
        <v>45485</v>
      </c>
      <c r="C155" s="76" t="b">
        <f t="shared" si="4"/>
        <v>1</v>
      </c>
      <c r="D155" s="2" t="s">
        <v>334</v>
      </c>
      <c r="E155" s="2">
        <v>49</v>
      </c>
      <c r="F155" s="2" t="s">
        <v>15</v>
      </c>
      <c r="G155" s="2" t="s">
        <v>68</v>
      </c>
      <c r="H155" s="2" t="s">
        <v>54</v>
      </c>
      <c r="I155" s="2" t="s">
        <v>46</v>
      </c>
      <c r="J155" s="2" t="s">
        <v>47</v>
      </c>
      <c r="K155" s="10" t="s">
        <v>42</v>
      </c>
      <c r="L155" s="2">
        <v>9</v>
      </c>
      <c r="M155" s="4">
        <v>28131.45</v>
      </c>
      <c r="N155" s="5">
        <v>77</v>
      </c>
    </row>
    <row r="156" spans="1:14" ht="15" customHeight="1" x14ac:dyDescent="0.45">
      <c r="A156" s="6" t="s">
        <v>335</v>
      </c>
      <c r="B156" s="76">
        <v>45599</v>
      </c>
      <c r="C156" s="76" t="b">
        <f t="shared" si="4"/>
        <v>1</v>
      </c>
      <c r="D156" s="6" t="s">
        <v>289</v>
      </c>
      <c r="E156" s="6">
        <v>78</v>
      </c>
      <c r="F156" s="6" t="s">
        <v>15</v>
      </c>
      <c r="G156" s="6" t="s">
        <v>68</v>
      </c>
      <c r="H156" s="6" t="s">
        <v>17</v>
      </c>
      <c r="I156" s="6" t="s">
        <v>40</v>
      </c>
      <c r="J156" s="6" t="s">
        <v>41</v>
      </c>
      <c r="K156" s="11" t="s">
        <v>50</v>
      </c>
      <c r="L156" s="6">
        <v>4</v>
      </c>
      <c r="M156" s="7">
        <v>62312.07</v>
      </c>
      <c r="N156" s="8">
        <v>79</v>
      </c>
    </row>
    <row r="157" spans="1:14" ht="15" customHeight="1" x14ac:dyDescent="0.45">
      <c r="A157" s="2" t="s">
        <v>336</v>
      </c>
      <c r="B157" s="76">
        <v>45486</v>
      </c>
      <c r="C157" s="76" t="b">
        <f t="shared" si="4"/>
        <v>1</v>
      </c>
      <c r="D157" s="2" t="s">
        <v>337</v>
      </c>
      <c r="E157" s="2">
        <v>29</v>
      </c>
      <c r="F157" s="2" t="s">
        <v>26</v>
      </c>
      <c r="G157" s="2" t="s">
        <v>68</v>
      </c>
      <c r="H157" s="2" t="s">
        <v>17</v>
      </c>
      <c r="I157" s="2" t="s">
        <v>64</v>
      </c>
      <c r="J157" s="2" t="s">
        <v>65</v>
      </c>
      <c r="K157" s="12" t="s">
        <v>58</v>
      </c>
      <c r="L157" s="2">
        <v>3</v>
      </c>
      <c r="M157" s="4">
        <v>44943.68</v>
      </c>
      <c r="N157" s="5">
        <v>77</v>
      </c>
    </row>
    <row r="158" spans="1:14" ht="15" customHeight="1" x14ac:dyDescent="0.45">
      <c r="A158" s="6" t="s">
        <v>338</v>
      </c>
      <c r="B158" s="76">
        <v>45527</v>
      </c>
      <c r="C158" s="76" t="b">
        <f t="shared" si="4"/>
        <v>1</v>
      </c>
      <c r="D158" s="6" t="s">
        <v>39</v>
      </c>
      <c r="E158" s="6">
        <v>45</v>
      </c>
      <c r="F158" s="6" t="s">
        <v>26</v>
      </c>
      <c r="G158" s="6" t="s">
        <v>16</v>
      </c>
      <c r="H158" s="6" t="s">
        <v>17</v>
      </c>
      <c r="I158" s="6" t="s">
        <v>23</v>
      </c>
      <c r="J158" s="6" t="s">
        <v>24</v>
      </c>
      <c r="K158" s="11" t="s">
        <v>50</v>
      </c>
      <c r="L158" s="6">
        <v>1</v>
      </c>
      <c r="M158" s="7">
        <v>74087.179999999993</v>
      </c>
      <c r="N158" s="8">
        <v>97</v>
      </c>
    </row>
    <row r="159" spans="1:14" ht="15" customHeight="1" x14ac:dyDescent="0.45">
      <c r="A159" s="2" t="s">
        <v>339</v>
      </c>
      <c r="B159" s="76">
        <v>45499</v>
      </c>
      <c r="C159" s="76" t="b">
        <f t="shared" si="4"/>
        <v>1</v>
      </c>
      <c r="D159" s="2" t="s">
        <v>340</v>
      </c>
      <c r="E159" s="2">
        <v>36</v>
      </c>
      <c r="F159" s="2" t="s">
        <v>26</v>
      </c>
      <c r="G159" s="2" t="s">
        <v>27</v>
      </c>
      <c r="H159" s="2" t="s">
        <v>57</v>
      </c>
      <c r="I159" s="2" t="s">
        <v>64</v>
      </c>
      <c r="J159" s="2" t="s">
        <v>65</v>
      </c>
      <c r="K159" s="9" t="s">
        <v>31</v>
      </c>
      <c r="L159" s="2">
        <v>2</v>
      </c>
      <c r="M159" s="4">
        <v>6564.24</v>
      </c>
      <c r="N159" s="5">
        <v>80</v>
      </c>
    </row>
    <row r="160" spans="1:14" ht="15" customHeight="1" x14ac:dyDescent="0.45">
      <c r="A160" s="6" t="s">
        <v>341</v>
      </c>
      <c r="B160" s="76">
        <v>45387</v>
      </c>
      <c r="C160" s="76" t="b">
        <f t="shared" si="4"/>
        <v>1</v>
      </c>
      <c r="D160" s="6" t="s">
        <v>342</v>
      </c>
      <c r="E160" s="6">
        <v>72</v>
      </c>
      <c r="F160" s="6" t="s">
        <v>15</v>
      </c>
      <c r="G160" s="6" t="s">
        <v>71</v>
      </c>
      <c r="H160" s="6" t="s">
        <v>28</v>
      </c>
      <c r="I160" s="6" t="s">
        <v>64</v>
      </c>
      <c r="J160" s="6" t="s">
        <v>65</v>
      </c>
      <c r="K160" s="12" t="s">
        <v>58</v>
      </c>
      <c r="L160" s="6">
        <v>2</v>
      </c>
      <c r="M160" s="7">
        <v>37675.74</v>
      </c>
      <c r="N160" s="8">
        <v>82</v>
      </c>
    </row>
    <row r="161" spans="1:14" ht="15" customHeight="1" x14ac:dyDescent="0.45">
      <c r="A161" s="2" t="s">
        <v>343</v>
      </c>
      <c r="B161" s="76">
        <v>45378</v>
      </c>
      <c r="C161" s="76" t="b">
        <f t="shared" si="4"/>
        <v>1</v>
      </c>
      <c r="D161" s="2" t="s">
        <v>70</v>
      </c>
      <c r="E161" s="2">
        <v>32</v>
      </c>
      <c r="F161" s="2" t="s">
        <v>15</v>
      </c>
      <c r="G161" s="2" t="s">
        <v>27</v>
      </c>
      <c r="H161" s="2" t="s">
        <v>28</v>
      </c>
      <c r="I161" s="2" t="s">
        <v>77</v>
      </c>
      <c r="J161" s="2" t="s">
        <v>78</v>
      </c>
      <c r="K161" s="3" t="s">
        <v>20</v>
      </c>
      <c r="L161" s="2">
        <v>6</v>
      </c>
      <c r="M161" s="4">
        <v>10728.45</v>
      </c>
      <c r="N161" s="5">
        <v>90</v>
      </c>
    </row>
    <row r="162" spans="1:14" ht="15" customHeight="1" x14ac:dyDescent="0.45">
      <c r="A162" s="6" t="s">
        <v>344</v>
      </c>
      <c r="B162" s="76">
        <v>45366</v>
      </c>
      <c r="C162" s="76" t="b">
        <f t="shared" si="4"/>
        <v>1</v>
      </c>
      <c r="D162" s="6" t="s">
        <v>233</v>
      </c>
      <c r="E162" s="6">
        <v>33</v>
      </c>
      <c r="F162" s="6" t="s">
        <v>15</v>
      </c>
      <c r="G162" s="6" t="s">
        <v>68</v>
      </c>
      <c r="H162" s="6" t="s">
        <v>54</v>
      </c>
      <c r="I162" s="6" t="s">
        <v>36</v>
      </c>
      <c r="J162" s="6" t="s">
        <v>37</v>
      </c>
      <c r="K162" s="12" t="s">
        <v>58</v>
      </c>
      <c r="L162" s="6">
        <v>2</v>
      </c>
      <c r="M162" s="7">
        <v>24197.62</v>
      </c>
      <c r="N162" s="8">
        <v>75</v>
      </c>
    </row>
    <row r="163" spans="1:14" ht="15" customHeight="1" x14ac:dyDescent="0.45">
      <c r="A163" s="2" t="s">
        <v>345</v>
      </c>
      <c r="B163" s="76">
        <v>45580</v>
      </c>
      <c r="C163" s="76" t="b">
        <f t="shared" ref="C163:C194" si="5">ISNUMBER(B163)</f>
        <v>1</v>
      </c>
      <c r="D163" s="2" t="s">
        <v>213</v>
      </c>
      <c r="E163" s="2">
        <v>47</v>
      </c>
      <c r="F163" s="2" t="s">
        <v>26</v>
      </c>
      <c r="G163" s="2" t="s">
        <v>27</v>
      </c>
      <c r="H163" s="2" t="s">
        <v>54</v>
      </c>
      <c r="I163" s="2" t="s">
        <v>101</v>
      </c>
      <c r="J163" s="2" t="s">
        <v>102</v>
      </c>
      <c r="K163" s="12" t="s">
        <v>58</v>
      </c>
      <c r="L163" s="2">
        <v>13</v>
      </c>
      <c r="M163" s="4">
        <v>61990.79</v>
      </c>
      <c r="N163" s="5">
        <v>84</v>
      </c>
    </row>
    <row r="164" spans="1:14" ht="15" customHeight="1" x14ac:dyDescent="0.45">
      <c r="A164" s="6" t="s">
        <v>346</v>
      </c>
      <c r="B164" s="76">
        <v>45518</v>
      </c>
      <c r="C164" s="76" t="b">
        <f t="shared" si="5"/>
        <v>1</v>
      </c>
      <c r="D164" s="6" t="s">
        <v>62</v>
      </c>
      <c r="E164" s="6">
        <v>22</v>
      </c>
      <c r="F164" s="6" t="s">
        <v>15</v>
      </c>
      <c r="G164" s="6" t="s">
        <v>27</v>
      </c>
      <c r="H164" s="6" t="s">
        <v>35</v>
      </c>
      <c r="I164" s="6" t="s">
        <v>101</v>
      </c>
      <c r="J164" s="6" t="s">
        <v>102</v>
      </c>
      <c r="K164" s="11" t="s">
        <v>50</v>
      </c>
      <c r="L164" s="6">
        <v>8</v>
      </c>
      <c r="M164" s="7">
        <v>52353.88</v>
      </c>
      <c r="N164" s="8">
        <v>95</v>
      </c>
    </row>
    <row r="165" spans="1:14" ht="15" customHeight="1" x14ac:dyDescent="0.45">
      <c r="A165" s="2" t="s">
        <v>347</v>
      </c>
      <c r="B165" s="76">
        <v>45523</v>
      </c>
      <c r="C165" s="76" t="b">
        <f t="shared" si="5"/>
        <v>1</v>
      </c>
      <c r="D165" s="2" t="s">
        <v>184</v>
      </c>
      <c r="E165" s="2">
        <v>37</v>
      </c>
      <c r="F165" s="2" t="s">
        <v>15</v>
      </c>
      <c r="G165" s="2" t="s">
        <v>68</v>
      </c>
      <c r="H165" s="2" t="s">
        <v>35</v>
      </c>
      <c r="I165" s="2" t="s">
        <v>18</v>
      </c>
      <c r="J165" s="2" t="s">
        <v>19</v>
      </c>
      <c r="K165" s="11" t="s">
        <v>50</v>
      </c>
      <c r="L165" s="2">
        <v>8</v>
      </c>
      <c r="M165" s="4">
        <v>7820.54</v>
      </c>
      <c r="N165" s="5">
        <v>81</v>
      </c>
    </row>
    <row r="166" spans="1:14" ht="15" customHeight="1" x14ac:dyDescent="0.45">
      <c r="A166" s="6" t="s">
        <v>348</v>
      </c>
      <c r="B166" s="76">
        <v>45528</v>
      </c>
      <c r="C166" s="76" t="b">
        <f t="shared" si="5"/>
        <v>1</v>
      </c>
      <c r="D166" s="6" t="s">
        <v>173</v>
      </c>
      <c r="E166" s="6">
        <v>50</v>
      </c>
      <c r="F166" s="6" t="s">
        <v>26</v>
      </c>
      <c r="G166" s="6" t="s">
        <v>16</v>
      </c>
      <c r="H166" s="6" t="s">
        <v>54</v>
      </c>
      <c r="I166" s="6" t="s">
        <v>46</v>
      </c>
      <c r="J166" s="6" t="s">
        <v>47</v>
      </c>
      <c r="K166" s="3" t="s">
        <v>20</v>
      </c>
      <c r="L166" s="6">
        <v>7</v>
      </c>
      <c r="M166" s="7">
        <v>48524.71</v>
      </c>
      <c r="N166" s="8">
        <v>100</v>
      </c>
    </row>
    <row r="167" spans="1:14" ht="15" customHeight="1" x14ac:dyDescent="0.45">
      <c r="A167" s="2" t="s">
        <v>349</v>
      </c>
      <c r="B167" s="76">
        <v>45548</v>
      </c>
      <c r="C167" s="76" t="b">
        <f t="shared" si="5"/>
        <v>1</v>
      </c>
      <c r="D167" s="2" t="s">
        <v>350</v>
      </c>
      <c r="E167" s="2">
        <v>56</v>
      </c>
      <c r="F167" s="2" t="s">
        <v>15</v>
      </c>
      <c r="G167" s="2" t="s">
        <v>27</v>
      </c>
      <c r="H167" s="2" t="s">
        <v>57</v>
      </c>
      <c r="I167" s="2" t="s">
        <v>77</v>
      </c>
      <c r="J167" s="2" t="s">
        <v>78</v>
      </c>
      <c r="K167" s="10" t="s">
        <v>42</v>
      </c>
      <c r="L167" s="2">
        <v>8</v>
      </c>
      <c r="M167" s="4">
        <v>16314.58</v>
      </c>
      <c r="N167" s="5">
        <v>71</v>
      </c>
    </row>
    <row r="168" spans="1:14" ht="15" customHeight="1" x14ac:dyDescent="0.45">
      <c r="A168" s="6" t="s">
        <v>351</v>
      </c>
      <c r="B168" s="76">
        <v>45312</v>
      </c>
      <c r="C168" s="76" t="b">
        <f t="shared" si="5"/>
        <v>1</v>
      </c>
      <c r="D168" s="6" t="s">
        <v>352</v>
      </c>
      <c r="E168" s="6">
        <v>59</v>
      </c>
      <c r="F168" s="6" t="s">
        <v>15</v>
      </c>
      <c r="G168" s="6" t="s">
        <v>27</v>
      </c>
      <c r="H168" s="6" t="s">
        <v>28</v>
      </c>
      <c r="I168" s="6" t="s">
        <v>88</v>
      </c>
      <c r="J168" s="6" t="s">
        <v>89</v>
      </c>
      <c r="K168" s="10" t="s">
        <v>42</v>
      </c>
      <c r="L168" s="6">
        <v>3</v>
      </c>
      <c r="M168" s="7">
        <v>23580.78</v>
      </c>
      <c r="N168" s="8">
        <v>84</v>
      </c>
    </row>
    <row r="169" spans="1:14" ht="15" customHeight="1" x14ac:dyDescent="0.45">
      <c r="A169" s="2" t="s">
        <v>353</v>
      </c>
      <c r="B169" s="76">
        <v>45465</v>
      </c>
      <c r="C169" s="76" t="b">
        <f t="shared" si="5"/>
        <v>1</v>
      </c>
      <c r="D169" s="2" t="s">
        <v>354</v>
      </c>
      <c r="E169" s="2">
        <v>42</v>
      </c>
      <c r="F169" s="2" t="s">
        <v>15</v>
      </c>
      <c r="G169" s="2" t="s">
        <v>27</v>
      </c>
      <c r="H169" s="2" t="s">
        <v>57</v>
      </c>
      <c r="I169" s="2" t="s">
        <v>40</v>
      </c>
      <c r="J169" s="2" t="s">
        <v>41</v>
      </c>
      <c r="K169" s="11" t="s">
        <v>50</v>
      </c>
      <c r="L169" s="2">
        <v>7</v>
      </c>
      <c r="M169" s="4">
        <v>55917.33</v>
      </c>
      <c r="N169" s="5">
        <v>71</v>
      </c>
    </row>
    <row r="170" spans="1:14" ht="15" customHeight="1" x14ac:dyDescent="0.45">
      <c r="A170" s="6" t="s">
        <v>355</v>
      </c>
      <c r="B170" s="76">
        <v>45437</v>
      </c>
      <c r="C170" s="76" t="b">
        <f t="shared" si="5"/>
        <v>1</v>
      </c>
      <c r="D170" s="6" t="s">
        <v>14</v>
      </c>
      <c r="E170" s="6">
        <v>61</v>
      </c>
      <c r="F170" s="6" t="s">
        <v>15</v>
      </c>
      <c r="G170" s="6" t="s">
        <v>27</v>
      </c>
      <c r="H170" s="6" t="s">
        <v>57</v>
      </c>
      <c r="I170" s="6" t="s">
        <v>88</v>
      </c>
      <c r="J170" s="6" t="s">
        <v>89</v>
      </c>
      <c r="K170" s="12" t="s">
        <v>58</v>
      </c>
      <c r="L170" s="6">
        <v>7</v>
      </c>
      <c r="M170" s="7">
        <v>23899.68</v>
      </c>
      <c r="N170" s="8">
        <v>97</v>
      </c>
    </row>
    <row r="171" spans="1:14" ht="15" customHeight="1" x14ac:dyDescent="0.45">
      <c r="A171" s="2" t="s">
        <v>356</v>
      </c>
      <c r="B171" s="76">
        <v>45471</v>
      </c>
      <c r="C171" s="76" t="b">
        <f t="shared" si="5"/>
        <v>1</v>
      </c>
      <c r="D171" s="2" t="s">
        <v>329</v>
      </c>
      <c r="E171" s="2">
        <v>60</v>
      </c>
      <c r="F171" s="2" t="s">
        <v>15</v>
      </c>
      <c r="G171" s="2" t="s">
        <v>16</v>
      </c>
      <c r="H171" s="2" t="s">
        <v>57</v>
      </c>
      <c r="I171" s="2" t="s">
        <v>46</v>
      </c>
      <c r="J171" s="2" t="s">
        <v>47</v>
      </c>
      <c r="K171" s="10" t="s">
        <v>42</v>
      </c>
      <c r="L171" s="2">
        <v>3</v>
      </c>
      <c r="M171" s="4">
        <v>28267.38</v>
      </c>
      <c r="N171" s="5">
        <v>90</v>
      </c>
    </row>
    <row r="172" spans="1:14" ht="15" customHeight="1" x14ac:dyDescent="0.45">
      <c r="A172" s="6" t="s">
        <v>357</v>
      </c>
      <c r="B172" s="76">
        <v>45621</v>
      </c>
      <c r="C172" s="76" t="b">
        <f t="shared" si="5"/>
        <v>1</v>
      </c>
      <c r="D172" s="6" t="s">
        <v>358</v>
      </c>
      <c r="E172" s="6">
        <v>53</v>
      </c>
      <c r="F172" s="6" t="s">
        <v>15</v>
      </c>
      <c r="G172" s="6" t="s">
        <v>71</v>
      </c>
      <c r="H172" s="6" t="s">
        <v>35</v>
      </c>
      <c r="I172" s="6" t="s">
        <v>40</v>
      </c>
      <c r="J172" s="6" t="s">
        <v>41</v>
      </c>
      <c r="K172" s="9" t="s">
        <v>31</v>
      </c>
      <c r="L172" s="6">
        <v>7</v>
      </c>
      <c r="M172" s="7">
        <v>64374.65</v>
      </c>
      <c r="N172" s="8">
        <v>96</v>
      </c>
    </row>
    <row r="173" spans="1:14" ht="15" customHeight="1" x14ac:dyDescent="0.45">
      <c r="A173" s="2" t="s">
        <v>359</v>
      </c>
      <c r="B173" s="76">
        <v>45479</v>
      </c>
      <c r="C173" s="76" t="b">
        <f t="shared" si="5"/>
        <v>1</v>
      </c>
      <c r="D173" s="2" t="s">
        <v>360</v>
      </c>
      <c r="E173" s="2">
        <v>19</v>
      </c>
      <c r="F173" s="2" t="s">
        <v>26</v>
      </c>
      <c r="G173" s="2" t="s">
        <v>45</v>
      </c>
      <c r="H173" s="2" t="s">
        <v>54</v>
      </c>
      <c r="I173" s="2" t="s">
        <v>77</v>
      </c>
      <c r="J173" s="2" t="s">
        <v>78</v>
      </c>
      <c r="K173" s="11" t="s">
        <v>50</v>
      </c>
      <c r="L173" s="2">
        <v>6</v>
      </c>
      <c r="M173" s="4">
        <v>18519.72</v>
      </c>
      <c r="N173" s="5">
        <v>76</v>
      </c>
    </row>
    <row r="174" spans="1:14" ht="15" customHeight="1" x14ac:dyDescent="0.45">
      <c r="A174" s="6" t="s">
        <v>361</v>
      </c>
      <c r="B174" s="76">
        <v>45443</v>
      </c>
      <c r="C174" s="76" t="b">
        <f t="shared" si="5"/>
        <v>1</v>
      </c>
      <c r="D174" s="6" t="s">
        <v>270</v>
      </c>
      <c r="E174" s="6">
        <v>27</v>
      </c>
      <c r="F174" s="6" t="s">
        <v>15</v>
      </c>
      <c r="G174" s="6" t="s">
        <v>27</v>
      </c>
      <c r="H174" s="6" t="s">
        <v>35</v>
      </c>
      <c r="I174" s="6" t="s">
        <v>36</v>
      </c>
      <c r="J174" s="6" t="s">
        <v>37</v>
      </c>
      <c r="K174" s="12" t="s">
        <v>58</v>
      </c>
      <c r="L174" s="6">
        <v>2</v>
      </c>
      <c r="M174" s="7">
        <v>68332.13</v>
      </c>
      <c r="N174" s="8">
        <v>73</v>
      </c>
    </row>
    <row r="175" spans="1:14" ht="15" customHeight="1" x14ac:dyDescent="0.45">
      <c r="A175" s="2" t="s">
        <v>362</v>
      </c>
      <c r="B175" s="76">
        <v>45370</v>
      </c>
      <c r="C175" s="76" t="b">
        <f t="shared" si="5"/>
        <v>1</v>
      </c>
      <c r="D175" s="2" t="s">
        <v>363</v>
      </c>
      <c r="E175" s="2">
        <v>56</v>
      </c>
      <c r="F175" s="2" t="s">
        <v>15</v>
      </c>
      <c r="G175" s="2" t="s">
        <v>71</v>
      </c>
      <c r="H175" s="2" t="s">
        <v>57</v>
      </c>
      <c r="I175" s="2" t="s">
        <v>36</v>
      </c>
      <c r="J175" s="2" t="s">
        <v>37</v>
      </c>
      <c r="K175" s="12" t="s">
        <v>58</v>
      </c>
      <c r="L175" s="2">
        <v>7</v>
      </c>
      <c r="M175" s="4">
        <v>17168.54</v>
      </c>
      <c r="N175" s="5">
        <v>96</v>
      </c>
    </row>
    <row r="176" spans="1:14" ht="15" customHeight="1" x14ac:dyDescent="0.45">
      <c r="A176" s="6" t="s">
        <v>364</v>
      </c>
      <c r="B176" s="76">
        <v>45296</v>
      </c>
      <c r="C176" s="76" t="b">
        <f t="shared" si="5"/>
        <v>1</v>
      </c>
      <c r="D176" s="6" t="s">
        <v>365</v>
      </c>
      <c r="E176" s="6">
        <v>41</v>
      </c>
      <c r="F176" s="6" t="s">
        <v>26</v>
      </c>
      <c r="G176" s="6" t="s">
        <v>45</v>
      </c>
      <c r="H176" s="6" t="s">
        <v>35</v>
      </c>
      <c r="I176" s="6" t="s">
        <v>64</v>
      </c>
      <c r="J176" s="6" t="s">
        <v>65</v>
      </c>
      <c r="K176" s="11" t="s">
        <v>50</v>
      </c>
      <c r="L176" s="6">
        <v>11</v>
      </c>
      <c r="M176" s="7">
        <v>77719.149999999994</v>
      </c>
      <c r="N176" s="8">
        <v>89</v>
      </c>
    </row>
    <row r="177" spans="1:14" ht="15" customHeight="1" x14ac:dyDescent="0.45">
      <c r="A177" s="2" t="s">
        <v>366</v>
      </c>
      <c r="B177" s="76">
        <v>45532</v>
      </c>
      <c r="C177" s="76" t="b">
        <f t="shared" si="5"/>
        <v>1</v>
      </c>
      <c r="D177" s="2" t="s">
        <v>182</v>
      </c>
      <c r="E177" s="2">
        <v>37</v>
      </c>
      <c r="F177" s="2" t="s">
        <v>26</v>
      </c>
      <c r="G177" s="2" t="s">
        <v>71</v>
      </c>
      <c r="H177" s="2" t="s">
        <v>28</v>
      </c>
      <c r="I177" s="2" t="s">
        <v>29</v>
      </c>
      <c r="J177" s="2" t="s">
        <v>30</v>
      </c>
      <c r="K177" s="11" t="s">
        <v>50</v>
      </c>
      <c r="L177" s="2">
        <v>13</v>
      </c>
      <c r="M177" s="4">
        <v>72798.080000000002</v>
      </c>
      <c r="N177" s="5">
        <v>76</v>
      </c>
    </row>
    <row r="178" spans="1:14" ht="15" customHeight="1" x14ac:dyDescent="0.45">
      <c r="A178" s="6" t="s">
        <v>367</v>
      </c>
      <c r="B178" s="76">
        <v>45330</v>
      </c>
      <c r="C178" s="76" t="b">
        <f t="shared" si="5"/>
        <v>1</v>
      </c>
      <c r="D178" s="6" t="s">
        <v>368</v>
      </c>
      <c r="E178" s="6">
        <v>50</v>
      </c>
      <c r="F178" s="6" t="s">
        <v>15</v>
      </c>
      <c r="G178" s="6" t="s">
        <v>27</v>
      </c>
      <c r="H178" s="6" t="s">
        <v>57</v>
      </c>
      <c r="I178" s="6" t="s">
        <v>64</v>
      </c>
      <c r="J178" s="6" t="s">
        <v>65</v>
      </c>
      <c r="K178" s="9" t="s">
        <v>31</v>
      </c>
      <c r="L178" s="6">
        <v>9</v>
      </c>
      <c r="M178" s="7">
        <v>77470.11</v>
      </c>
      <c r="N178" s="8">
        <v>96</v>
      </c>
    </row>
    <row r="179" spans="1:14" ht="15" customHeight="1" x14ac:dyDescent="0.45">
      <c r="A179" s="2" t="s">
        <v>369</v>
      </c>
      <c r="B179" s="76">
        <v>45575</v>
      </c>
      <c r="C179" s="76" t="b">
        <f t="shared" si="5"/>
        <v>1</v>
      </c>
      <c r="D179" s="2" t="s">
        <v>301</v>
      </c>
      <c r="E179" s="2">
        <v>73</v>
      </c>
      <c r="F179" s="2" t="s">
        <v>15</v>
      </c>
      <c r="G179" s="2" t="s">
        <v>27</v>
      </c>
      <c r="H179" s="2" t="s">
        <v>57</v>
      </c>
      <c r="I179" s="2" t="s">
        <v>101</v>
      </c>
      <c r="J179" s="2" t="s">
        <v>102</v>
      </c>
      <c r="K179" s="12" t="s">
        <v>58</v>
      </c>
      <c r="L179" s="2">
        <v>6</v>
      </c>
      <c r="M179" s="4">
        <v>75072.02</v>
      </c>
      <c r="N179" s="5">
        <v>92</v>
      </c>
    </row>
    <row r="180" spans="1:14" ht="15" customHeight="1" x14ac:dyDescent="0.45">
      <c r="A180" s="6" t="s">
        <v>370</v>
      </c>
      <c r="B180" s="76">
        <v>45554</v>
      </c>
      <c r="C180" s="76" t="b">
        <f t="shared" si="5"/>
        <v>1</v>
      </c>
      <c r="D180" s="6" t="s">
        <v>80</v>
      </c>
      <c r="E180" s="6">
        <v>35</v>
      </c>
      <c r="F180" s="6" t="s">
        <v>15</v>
      </c>
      <c r="G180" s="6" t="s">
        <v>71</v>
      </c>
      <c r="H180" s="6" t="s">
        <v>28</v>
      </c>
      <c r="I180" s="6" t="s">
        <v>36</v>
      </c>
      <c r="J180" s="6" t="s">
        <v>37</v>
      </c>
      <c r="K180" s="3" t="s">
        <v>20</v>
      </c>
      <c r="L180" s="6">
        <v>8</v>
      </c>
      <c r="M180" s="7">
        <v>16051.15</v>
      </c>
      <c r="N180" s="8">
        <v>83</v>
      </c>
    </row>
    <row r="181" spans="1:14" ht="15" customHeight="1" x14ac:dyDescent="0.45">
      <c r="A181" s="2" t="s">
        <v>371</v>
      </c>
      <c r="B181" s="76">
        <v>45494</v>
      </c>
      <c r="C181" s="76" t="b">
        <f t="shared" si="5"/>
        <v>1</v>
      </c>
      <c r="D181" s="2" t="s">
        <v>372</v>
      </c>
      <c r="E181" s="2">
        <v>44</v>
      </c>
      <c r="F181" s="2" t="s">
        <v>15</v>
      </c>
      <c r="G181" s="2" t="s">
        <v>27</v>
      </c>
      <c r="H181" s="2" t="s">
        <v>54</v>
      </c>
      <c r="I181" s="2" t="s">
        <v>23</v>
      </c>
      <c r="J181" s="2" t="s">
        <v>24</v>
      </c>
      <c r="K181" s="10" t="s">
        <v>42</v>
      </c>
      <c r="L181" s="2">
        <v>1</v>
      </c>
      <c r="M181" s="4">
        <v>42650.53</v>
      </c>
      <c r="N181" s="5">
        <v>77</v>
      </c>
    </row>
    <row r="182" spans="1:14" ht="15" customHeight="1" x14ac:dyDescent="0.45">
      <c r="A182" s="6" t="s">
        <v>373</v>
      </c>
      <c r="B182" s="76">
        <v>45624</v>
      </c>
      <c r="C182" s="76" t="b">
        <f t="shared" si="5"/>
        <v>1</v>
      </c>
      <c r="D182" s="6" t="s">
        <v>132</v>
      </c>
      <c r="E182" s="6">
        <v>38</v>
      </c>
      <c r="F182" s="6" t="s">
        <v>15</v>
      </c>
      <c r="G182" s="6" t="s">
        <v>27</v>
      </c>
      <c r="H182" s="6" t="s">
        <v>17</v>
      </c>
      <c r="I182" s="6" t="s">
        <v>23</v>
      </c>
      <c r="J182" s="6" t="s">
        <v>24</v>
      </c>
      <c r="K182" s="9" t="s">
        <v>31</v>
      </c>
      <c r="L182" s="6">
        <v>2</v>
      </c>
      <c r="M182" s="7">
        <v>30146.78</v>
      </c>
      <c r="N182" s="8">
        <v>74</v>
      </c>
    </row>
    <row r="183" spans="1:14" ht="15" customHeight="1" x14ac:dyDescent="0.45">
      <c r="A183" s="2" t="s">
        <v>375</v>
      </c>
      <c r="B183" s="76">
        <v>45532</v>
      </c>
      <c r="C183" s="76" t="b">
        <f t="shared" si="5"/>
        <v>1</v>
      </c>
      <c r="D183" s="2" t="s">
        <v>238</v>
      </c>
      <c r="E183" s="2">
        <v>66</v>
      </c>
      <c r="F183" s="2" t="s">
        <v>15</v>
      </c>
      <c r="G183" s="2" t="s">
        <v>27</v>
      </c>
      <c r="H183" s="2" t="s">
        <v>54</v>
      </c>
      <c r="I183" s="2" t="s">
        <v>36</v>
      </c>
      <c r="J183" s="2" t="s">
        <v>37</v>
      </c>
      <c r="K183" s="3" t="s">
        <v>20</v>
      </c>
      <c r="L183" s="2">
        <v>12</v>
      </c>
      <c r="M183" s="4">
        <v>38645.11</v>
      </c>
      <c r="N183" s="5">
        <v>70</v>
      </c>
    </row>
    <row r="184" spans="1:14" ht="15" customHeight="1" x14ac:dyDescent="0.45">
      <c r="A184" s="2" t="s">
        <v>376</v>
      </c>
      <c r="B184" s="76">
        <v>45619</v>
      </c>
      <c r="C184" s="76" t="b">
        <f t="shared" si="5"/>
        <v>1</v>
      </c>
      <c r="D184" s="2" t="s">
        <v>132</v>
      </c>
      <c r="E184" s="2">
        <v>33</v>
      </c>
      <c r="F184" s="2" t="s">
        <v>15</v>
      </c>
      <c r="G184" s="2" t="s">
        <v>71</v>
      </c>
      <c r="H184" s="2" t="s">
        <v>35</v>
      </c>
      <c r="I184" s="2" t="s">
        <v>23</v>
      </c>
      <c r="J184" s="2" t="s">
        <v>24</v>
      </c>
      <c r="K184" s="3" t="s">
        <v>20</v>
      </c>
      <c r="L184" s="2">
        <v>7</v>
      </c>
      <c r="M184" s="4">
        <v>64542.43</v>
      </c>
      <c r="N184" s="5">
        <v>84</v>
      </c>
    </row>
    <row r="185" spans="1:14" ht="15" customHeight="1" x14ac:dyDescent="0.45">
      <c r="A185" s="6" t="s">
        <v>377</v>
      </c>
      <c r="B185" s="76">
        <v>45555</v>
      </c>
      <c r="C185" s="76" t="b">
        <f t="shared" si="5"/>
        <v>1</v>
      </c>
      <c r="D185" s="6" t="s">
        <v>378</v>
      </c>
      <c r="E185" s="6">
        <v>19</v>
      </c>
      <c r="F185" s="6" t="s">
        <v>26</v>
      </c>
      <c r="G185" s="6" t="s">
        <v>71</v>
      </c>
      <c r="H185" s="6" t="s">
        <v>57</v>
      </c>
      <c r="I185" s="6" t="s">
        <v>88</v>
      </c>
      <c r="J185" s="6" t="s">
        <v>89</v>
      </c>
      <c r="K185" s="9" t="s">
        <v>31</v>
      </c>
      <c r="L185" s="6">
        <v>11</v>
      </c>
      <c r="M185" s="7">
        <v>48128.56</v>
      </c>
      <c r="N185" s="8">
        <v>92</v>
      </c>
    </row>
    <row r="186" spans="1:14" ht="15" customHeight="1" x14ac:dyDescent="0.45">
      <c r="A186" s="2" t="s">
        <v>379</v>
      </c>
      <c r="B186" s="76">
        <v>45584</v>
      </c>
      <c r="C186" s="76" t="b">
        <f t="shared" si="5"/>
        <v>1</v>
      </c>
      <c r="D186" s="2" t="s">
        <v>380</v>
      </c>
      <c r="E186" s="2">
        <v>40</v>
      </c>
      <c r="F186" s="2" t="s">
        <v>26</v>
      </c>
      <c r="G186" s="2" t="s">
        <v>68</v>
      </c>
      <c r="H186" s="2" t="s">
        <v>35</v>
      </c>
      <c r="I186" s="2" t="s">
        <v>46</v>
      </c>
      <c r="J186" s="2" t="s">
        <v>47</v>
      </c>
      <c r="K186" s="3" t="s">
        <v>20</v>
      </c>
      <c r="L186" s="2">
        <v>4</v>
      </c>
      <c r="M186" s="4">
        <v>36242.57</v>
      </c>
      <c r="N186" s="5">
        <v>91</v>
      </c>
    </row>
    <row r="187" spans="1:14" ht="15" customHeight="1" x14ac:dyDescent="0.45">
      <c r="A187" s="6" t="s">
        <v>381</v>
      </c>
      <c r="B187" s="76">
        <v>45551</v>
      </c>
      <c r="C187" s="76" t="b">
        <f t="shared" si="5"/>
        <v>1</v>
      </c>
      <c r="D187" s="6" t="s">
        <v>256</v>
      </c>
      <c r="E187" s="6">
        <v>50</v>
      </c>
      <c r="F187" s="6" t="s">
        <v>15</v>
      </c>
      <c r="G187" s="6" t="s">
        <v>71</v>
      </c>
      <c r="H187" s="6" t="s">
        <v>28</v>
      </c>
      <c r="I187" s="6" t="s">
        <v>88</v>
      </c>
      <c r="J187" s="6" t="s">
        <v>89</v>
      </c>
      <c r="K187" s="10" t="s">
        <v>42</v>
      </c>
      <c r="L187" s="6">
        <v>13</v>
      </c>
      <c r="M187" s="7">
        <v>46561.4</v>
      </c>
      <c r="N187" s="8">
        <v>82</v>
      </c>
    </row>
    <row r="188" spans="1:14" ht="15" customHeight="1" x14ac:dyDescent="0.45">
      <c r="A188" s="2" t="s">
        <v>382</v>
      </c>
      <c r="B188" s="76">
        <v>45298</v>
      </c>
      <c r="C188" s="76" t="b">
        <f t="shared" si="5"/>
        <v>1</v>
      </c>
      <c r="D188" s="2" t="s">
        <v>383</v>
      </c>
      <c r="E188" s="2">
        <v>65</v>
      </c>
      <c r="F188" s="2" t="s">
        <v>15</v>
      </c>
      <c r="G188" s="2" t="s">
        <v>16</v>
      </c>
      <c r="H188" s="2" t="s">
        <v>28</v>
      </c>
      <c r="I188" s="2" t="s">
        <v>40</v>
      </c>
      <c r="J188" s="2" t="s">
        <v>41</v>
      </c>
      <c r="K188" s="9" t="s">
        <v>31</v>
      </c>
      <c r="L188" s="2">
        <v>1</v>
      </c>
      <c r="M188" s="4">
        <v>64139</v>
      </c>
      <c r="N188" s="5">
        <v>81</v>
      </c>
    </row>
    <row r="189" spans="1:14" ht="15" customHeight="1" x14ac:dyDescent="0.45">
      <c r="A189" s="6" t="s">
        <v>384</v>
      </c>
      <c r="B189" s="76">
        <v>45453</v>
      </c>
      <c r="C189" s="76" t="b">
        <f t="shared" si="5"/>
        <v>1</v>
      </c>
      <c r="D189" s="6" t="s">
        <v>135</v>
      </c>
      <c r="E189" s="6">
        <v>20</v>
      </c>
      <c r="F189" s="6" t="s">
        <v>26</v>
      </c>
      <c r="G189" s="6" t="s">
        <v>71</v>
      </c>
      <c r="H189" s="6" t="s">
        <v>54</v>
      </c>
      <c r="I189" s="6" t="s">
        <v>36</v>
      </c>
      <c r="J189" s="6" t="s">
        <v>37</v>
      </c>
      <c r="K189" s="9" t="s">
        <v>31</v>
      </c>
      <c r="L189" s="6">
        <v>6</v>
      </c>
      <c r="M189" s="7">
        <v>30391.040000000001</v>
      </c>
      <c r="N189" s="8">
        <v>90</v>
      </c>
    </row>
    <row r="190" spans="1:14" ht="15" customHeight="1" x14ac:dyDescent="0.45">
      <c r="A190" s="2" t="s">
        <v>385</v>
      </c>
      <c r="B190" s="76">
        <v>45526</v>
      </c>
      <c r="C190" s="76" t="b">
        <f t="shared" si="5"/>
        <v>1</v>
      </c>
      <c r="D190" s="2" t="s">
        <v>231</v>
      </c>
      <c r="E190" s="2">
        <v>22</v>
      </c>
      <c r="F190" s="2" t="s">
        <v>15</v>
      </c>
      <c r="G190" s="2" t="s">
        <v>68</v>
      </c>
      <c r="H190" s="2" t="s">
        <v>28</v>
      </c>
      <c r="I190" s="2" t="s">
        <v>36</v>
      </c>
      <c r="J190" s="2" t="s">
        <v>37</v>
      </c>
      <c r="K190" s="3" t="s">
        <v>20</v>
      </c>
      <c r="L190" s="2">
        <v>12</v>
      </c>
      <c r="M190" s="4">
        <v>7773.78</v>
      </c>
      <c r="N190" s="5">
        <v>76</v>
      </c>
    </row>
    <row r="191" spans="1:14" ht="15" customHeight="1" x14ac:dyDescent="0.45">
      <c r="A191" s="6" t="s">
        <v>386</v>
      </c>
      <c r="B191" s="76">
        <v>45422</v>
      </c>
      <c r="C191" s="76" t="b">
        <f t="shared" si="5"/>
        <v>1</v>
      </c>
      <c r="D191" s="6" t="s">
        <v>135</v>
      </c>
      <c r="E191" s="6">
        <v>50</v>
      </c>
      <c r="F191" s="6" t="s">
        <v>26</v>
      </c>
      <c r="G191" s="6" t="s">
        <v>27</v>
      </c>
      <c r="H191" s="6" t="s">
        <v>57</v>
      </c>
      <c r="I191" s="6" t="s">
        <v>40</v>
      </c>
      <c r="J191" s="6" t="s">
        <v>41</v>
      </c>
      <c r="K191" s="9" t="s">
        <v>31</v>
      </c>
      <c r="L191" s="6">
        <v>7</v>
      </c>
      <c r="M191" s="7">
        <v>40504.980000000003</v>
      </c>
      <c r="N191" s="8">
        <v>71</v>
      </c>
    </row>
    <row r="192" spans="1:14" ht="15" customHeight="1" x14ac:dyDescent="0.45">
      <c r="A192" s="2" t="s">
        <v>387</v>
      </c>
      <c r="B192" s="76">
        <v>45480</v>
      </c>
      <c r="C192" s="76" t="b">
        <f t="shared" si="5"/>
        <v>1</v>
      </c>
      <c r="D192" s="2" t="s">
        <v>320</v>
      </c>
      <c r="E192" s="2">
        <v>35</v>
      </c>
      <c r="F192" s="2" t="s">
        <v>26</v>
      </c>
      <c r="G192" s="2" t="s">
        <v>27</v>
      </c>
      <c r="H192" s="2" t="s">
        <v>54</v>
      </c>
      <c r="I192" s="2" t="s">
        <v>77</v>
      </c>
      <c r="J192" s="2" t="s">
        <v>78</v>
      </c>
      <c r="K192" s="10" t="s">
        <v>42</v>
      </c>
      <c r="L192" s="2">
        <v>2</v>
      </c>
      <c r="M192" s="4">
        <v>37771.35</v>
      </c>
      <c r="N192" s="5">
        <v>82</v>
      </c>
    </row>
    <row r="193" spans="1:14" ht="15" customHeight="1" x14ac:dyDescent="0.45">
      <c r="A193" s="6" t="s">
        <v>388</v>
      </c>
      <c r="B193" s="76">
        <v>45480</v>
      </c>
      <c r="C193" s="76" t="b">
        <f t="shared" si="5"/>
        <v>1</v>
      </c>
      <c r="D193" s="6" t="s">
        <v>389</v>
      </c>
      <c r="E193" s="6">
        <v>62</v>
      </c>
      <c r="F193" s="6" t="s">
        <v>15</v>
      </c>
      <c r="G193" s="6" t="s">
        <v>71</v>
      </c>
      <c r="H193" s="6" t="s">
        <v>57</v>
      </c>
      <c r="I193" s="6" t="s">
        <v>101</v>
      </c>
      <c r="J193" s="6" t="s">
        <v>102</v>
      </c>
      <c r="K193" s="11" t="s">
        <v>50</v>
      </c>
      <c r="L193" s="6">
        <v>8</v>
      </c>
      <c r="M193" s="7">
        <v>74323.28</v>
      </c>
      <c r="N193" s="8">
        <v>86</v>
      </c>
    </row>
    <row r="194" spans="1:14" ht="15" customHeight="1" x14ac:dyDescent="0.45">
      <c r="A194" s="2" t="s">
        <v>390</v>
      </c>
      <c r="B194" s="76">
        <v>45326</v>
      </c>
      <c r="C194" s="76" t="b">
        <f t="shared" si="5"/>
        <v>1</v>
      </c>
      <c r="D194" s="2" t="s">
        <v>191</v>
      </c>
      <c r="E194" s="2">
        <v>56</v>
      </c>
      <c r="F194" s="2" t="s">
        <v>15</v>
      </c>
      <c r="G194" s="2" t="s">
        <v>27</v>
      </c>
      <c r="H194" s="2" t="s">
        <v>28</v>
      </c>
      <c r="I194" s="2" t="s">
        <v>64</v>
      </c>
      <c r="J194" s="2" t="s">
        <v>65</v>
      </c>
      <c r="K194" s="3" t="s">
        <v>20</v>
      </c>
      <c r="L194" s="2">
        <v>14</v>
      </c>
      <c r="M194" s="4">
        <v>45910.58</v>
      </c>
      <c r="N194" s="5">
        <v>80</v>
      </c>
    </row>
    <row r="195" spans="1:14" ht="15" customHeight="1" x14ac:dyDescent="0.45">
      <c r="A195" s="6" t="s">
        <v>391</v>
      </c>
      <c r="B195" s="76">
        <v>45451</v>
      </c>
      <c r="C195" s="76" t="b">
        <f t="shared" ref="C195:C226" si="6">ISNUMBER(B195)</f>
        <v>1</v>
      </c>
      <c r="D195" s="6" t="s">
        <v>109</v>
      </c>
      <c r="E195" s="6">
        <v>46</v>
      </c>
      <c r="F195" s="6" t="s">
        <v>26</v>
      </c>
      <c r="G195" s="6" t="s">
        <v>68</v>
      </c>
      <c r="H195" s="6" t="s">
        <v>28</v>
      </c>
      <c r="I195" s="6" t="s">
        <v>40</v>
      </c>
      <c r="J195" s="6" t="s">
        <v>41</v>
      </c>
      <c r="K195" s="11" t="s">
        <v>50</v>
      </c>
      <c r="L195" s="6">
        <v>10</v>
      </c>
      <c r="M195" s="7">
        <v>17498.36</v>
      </c>
      <c r="N195" s="8">
        <v>84</v>
      </c>
    </row>
    <row r="196" spans="1:14" ht="15" customHeight="1" x14ac:dyDescent="0.45">
      <c r="A196" s="2" t="s">
        <v>392</v>
      </c>
      <c r="B196" s="76">
        <v>45619</v>
      </c>
      <c r="C196" s="76" t="b">
        <f t="shared" si="6"/>
        <v>1</v>
      </c>
      <c r="D196" s="2" t="s">
        <v>374</v>
      </c>
      <c r="E196" s="2">
        <v>45</v>
      </c>
      <c r="F196" s="2" t="s">
        <v>15</v>
      </c>
      <c r="G196" s="2" t="s">
        <v>71</v>
      </c>
      <c r="H196" s="2" t="s">
        <v>28</v>
      </c>
      <c r="I196" s="2" t="s">
        <v>46</v>
      </c>
      <c r="J196" s="2" t="s">
        <v>47</v>
      </c>
      <c r="K196" s="3" t="s">
        <v>20</v>
      </c>
      <c r="L196" s="2">
        <v>5</v>
      </c>
      <c r="M196" s="4">
        <v>78502.05</v>
      </c>
      <c r="N196" s="5">
        <v>100</v>
      </c>
    </row>
    <row r="197" spans="1:14" ht="15" customHeight="1" x14ac:dyDescent="0.45">
      <c r="A197" s="6" t="s">
        <v>393</v>
      </c>
      <c r="B197" s="76">
        <v>45639</v>
      </c>
      <c r="C197" s="76" t="b">
        <f t="shared" si="6"/>
        <v>1</v>
      </c>
      <c r="D197" s="6" t="s">
        <v>52</v>
      </c>
      <c r="E197" s="6">
        <v>69</v>
      </c>
      <c r="F197" s="6" t="s">
        <v>26</v>
      </c>
      <c r="G197" s="6" t="s">
        <v>68</v>
      </c>
      <c r="H197" s="6" t="s">
        <v>54</v>
      </c>
      <c r="I197" s="6" t="s">
        <v>88</v>
      </c>
      <c r="J197" s="6" t="s">
        <v>89</v>
      </c>
      <c r="K197" s="9" t="s">
        <v>31</v>
      </c>
      <c r="L197" s="6">
        <v>12</v>
      </c>
      <c r="M197" s="7">
        <v>16999</v>
      </c>
      <c r="N197" s="8">
        <v>70</v>
      </c>
    </row>
    <row r="198" spans="1:14" ht="15" customHeight="1" x14ac:dyDescent="0.45">
      <c r="A198" s="2" t="s">
        <v>394</v>
      </c>
      <c r="B198" s="76">
        <v>45622</v>
      </c>
      <c r="C198" s="76" t="b">
        <f t="shared" si="6"/>
        <v>1</v>
      </c>
      <c r="D198" s="2" t="s">
        <v>395</v>
      </c>
      <c r="E198" s="2">
        <v>33</v>
      </c>
      <c r="F198" s="2" t="s">
        <v>15</v>
      </c>
      <c r="G198" s="2" t="s">
        <v>16</v>
      </c>
      <c r="H198" s="2" t="s">
        <v>54</v>
      </c>
      <c r="I198" s="2" t="s">
        <v>18</v>
      </c>
      <c r="J198" s="2" t="s">
        <v>19</v>
      </c>
      <c r="K198" s="12" t="s">
        <v>58</v>
      </c>
      <c r="L198" s="2">
        <v>13</v>
      </c>
      <c r="M198" s="4">
        <v>32474.639999999999</v>
      </c>
      <c r="N198" s="5">
        <v>82</v>
      </c>
    </row>
    <row r="199" spans="1:14" ht="15" customHeight="1" x14ac:dyDescent="0.45">
      <c r="A199" s="6" t="s">
        <v>396</v>
      </c>
      <c r="B199" s="76">
        <v>45542</v>
      </c>
      <c r="C199" s="76" t="b">
        <f t="shared" si="6"/>
        <v>1</v>
      </c>
      <c r="D199" s="6" t="s">
        <v>389</v>
      </c>
      <c r="E199" s="6">
        <v>78</v>
      </c>
      <c r="F199" s="6" t="s">
        <v>15</v>
      </c>
      <c r="G199" s="6" t="s">
        <v>16</v>
      </c>
      <c r="H199" s="6" t="s">
        <v>28</v>
      </c>
      <c r="I199" s="6" t="s">
        <v>101</v>
      </c>
      <c r="J199" s="6" t="s">
        <v>102</v>
      </c>
      <c r="K199" s="12" t="s">
        <v>58</v>
      </c>
      <c r="L199" s="6">
        <v>6</v>
      </c>
      <c r="M199" s="7">
        <v>38295.449999999997</v>
      </c>
      <c r="N199" s="8">
        <v>72</v>
      </c>
    </row>
    <row r="200" spans="1:14" ht="15" customHeight="1" x14ac:dyDescent="0.45">
      <c r="A200" s="2" t="s">
        <v>397</v>
      </c>
      <c r="B200" s="76">
        <v>45434</v>
      </c>
      <c r="C200" s="76" t="b">
        <f t="shared" si="6"/>
        <v>1</v>
      </c>
      <c r="D200" s="2" t="s">
        <v>270</v>
      </c>
      <c r="E200" s="2">
        <v>38</v>
      </c>
      <c r="F200" s="2" t="s">
        <v>15</v>
      </c>
      <c r="G200" s="2" t="s">
        <v>71</v>
      </c>
      <c r="H200" s="2" t="s">
        <v>35</v>
      </c>
      <c r="I200" s="2" t="s">
        <v>64</v>
      </c>
      <c r="J200" s="2" t="s">
        <v>65</v>
      </c>
      <c r="K200" s="3" t="s">
        <v>20</v>
      </c>
      <c r="L200" s="2">
        <v>11</v>
      </c>
      <c r="M200" s="4">
        <v>23720.87</v>
      </c>
      <c r="N200" s="5">
        <v>73</v>
      </c>
    </row>
    <row r="201" spans="1:14" ht="15" customHeight="1" x14ac:dyDescent="0.45">
      <c r="A201" s="6" t="s">
        <v>398</v>
      </c>
      <c r="B201" s="76">
        <v>45294</v>
      </c>
      <c r="C201" s="76" t="b">
        <f t="shared" si="6"/>
        <v>1</v>
      </c>
      <c r="D201" s="6" t="s">
        <v>294</v>
      </c>
      <c r="E201" s="6">
        <v>76</v>
      </c>
      <c r="F201" s="6" t="s">
        <v>15</v>
      </c>
      <c r="G201" s="6" t="s">
        <v>16</v>
      </c>
      <c r="H201" s="6" t="s">
        <v>28</v>
      </c>
      <c r="I201" s="6" t="s">
        <v>64</v>
      </c>
      <c r="J201" s="6" t="s">
        <v>65</v>
      </c>
      <c r="K201" s="10" t="s">
        <v>42</v>
      </c>
      <c r="L201" s="6">
        <v>9</v>
      </c>
      <c r="M201" s="7">
        <v>24633.25</v>
      </c>
      <c r="N201" s="8">
        <v>78</v>
      </c>
    </row>
    <row r="202" spans="1:14" ht="15" customHeight="1" x14ac:dyDescent="0.4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A589"/>
  </sheetPr>
  <dimension ref="A1:H43"/>
  <sheetViews>
    <sheetView zoomScaleNormal="100" workbookViewId="0">
      <selection activeCell="F11" sqref="F11"/>
    </sheetView>
  </sheetViews>
  <sheetFormatPr defaultColWidth="8.6640625" defaultRowHeight="14.25" x14ac:dyDescent="0.45"/>
  <cols>
    <col min="1" max="1" width="22" customWidth="1"/>
    <col min="2" max="2" width="16" customWidth="1"/>
    <col min="3" max="5" width="14" customWidth="1"/>
    <col min="6" max="7" width="16" customWidth="1"/>
    <col min="8" max="8" width="14" customWidth="1"/>
  </cols>
  <sheetData>
    <row r="1" spans="1:8" ht="27.75" customHeight="1" x14ac:dyDescent="0.45">
      <c r="A1" s="65" t="s">
        <v>399</v>
      </c>
      <c r="B1" s="65"/>
      <c r="C1" s="65"/>
      <c r="D1" s="65"/>
      <c r="E1" s="65"/>
      <c r="F1" s="65"/>
      <c r="G1" s="65"/>
      <c r="H1" s="65"/>
    </row>
    <row r="3" spans="1:8" ht="27.75" customHeight="1" x14ac:dyDescent="0.45">
      <c r="A3" s="66" t="s">
        <v>400</v>
      </c>
      <c r="B3" s="66"/>
      <c r="C3" s="66"/>
      <c r="D3" s="66"/>
      <c r="E3" s="66"/>
      <c r="F3" s="66"/>
      <c r="G3" s="66"/>
      <c r="H3" s="66"/>
    </row>
    <row r="4" spans="1:8" ht="21.75" customHeight="1" x14ac:dyDescent="0.45">
      <c r="A4" s="13" t="s">
        <v>8</v>
      </c>
      <c r="B4" s="13" t="s">
        <v>401</v>
      </c>
      <c r="C4" s="13" t="s">
        <v>402</v>
      </c>
      <c r="D4" s="13" t="s">
        <v>403</v>
      </c>
      <c r="E4" s="13" t="s">
        <v>404</v>
      </c>
      <c r="F4" s="13" t="s">
        <v>405</v>
      </c>
      <c r="G4" s="13" t="s">
        <v>406</v>
      </c>
      <c r="H4" s="13" t="s">
        <v>407</v>
      </c>
    </row>
    <row r="5" spans="1:8" ht="15" customHeight="1" x14ac:dyDescent="0.45">
      <c r="A5" s="14" t="s">
        <v>23</v>
      </c>
      <c r="B5" s="15">
        <f>COUNTIF('🏥 Patient Data'!I3:I201,A5)</f>
        <v>18</v>
      </c>
      <c r="C5" s="16">
        <f>IFERROR(B5/SUM(B5:B14),0)</f>
        <v>9.0452261306532666E-2</v>
      </c>
      <c r="D5" s="17">
        <f>IFERROR(AVERAGEIF('🏥 Patient Data'!I3:I201,A5,'🏥 Patient Data'!L3:L201),0)</f>
        <v>5.8888888888888893</v>
      </c>
      <c r="E5" s="18">
        <f>IFERROR(AVERAGEIF('🏥 Patient Data'!I3:I201,A5,'🏥 Patient Data'!M3:M201),0)</f>
        <v>47463.401666666658</v>
      </c>
      <c r="F5" s="17">
        <f>IFERROR(AVERAGEIF('🏥 Patient Data'!I3:I201,A5,'🏥 Patient Data'!N3:N201),0)</f>
        <v>87.611111111111114</v>
      </c>
      <c r="G5" s="15">
        <f>COUNTIFS('🏥 Patient Data'!I3:I201,A5,'🏥 Patient Data'!K3:K201,"Recovered")</f>
        <v>2</v>
      </c>
      <c r="H5" s="16">
        <f t="shared" ref="H5:H14" si="0">IFERROR(G5/B5,0)</f>
        <v>0.1111111111111111</v>
      </c>
    </row>
    <row r="6" spans="1:8" ht="15" customHeight="1" x14ac:dyDescent="0.45">
      <c r="A6" s="19" t="s">
        <v>18</v>
      </c>
      <c r="B6" s="20">
        <f>COUNTIF('🏥 Patient Data'!I3:I201,A6)</f>
        <v>20</v>
      </c>
      <c r="C6" s="21">
        <f>IFERROR(B6/SUM(B5:B14),0)</f>
        <v>0.10050251256281408</v>
      </c>
      <c r="D6" s="22">
        <f>IFERROR(AVERAGEIF('🏥 Patient Data'!I3:I201,A6,'🏥 Patient Data'!L3:L201),0)</f>
        <v>8.4</v>
      </c>
      <c r="E6" s="23">
        <f>IFERROR(AVERAGEIF('🏥 Patient Data'!I3:I201,A6,'🏥 Patient Data'!M3:M201),0)</f>
        <v>40734.356499999994</v>
      </c>
      <c r="F6" s="22">
        <f>IFERROR(AVERAGEIF('🏥 Patient Data'!I3:I201,A6,'🏥 Patient Data'!N3:N201),0)</f>
        <v>84.1</v>
      </c>
      <c r="G6" s="20">
        <f>COUNTIFS('🏥 Patient Data'!I3:I201,A6,'🏥 Patient Data'!K3:K201,"Recovered")</f>
        <v>3</v>
      </c>
      <c r="H6" s="21">
        <f t="shared" si="0"/>
        <v>0.15</v>
      </c>
    </row>
    <row r="7" spans="1:8" ht="15" customHeight="1" x14ac:dyDescent="0.45">
      <c r="A7" s="14" t="s">
        <v>36</v>
      </c>
      <c r="B7" s="15">
        <f>COUNTIF('🏥 Patient Data'!I3:I201,A7)</f>
        <v>23</v>
      </c>
      <c r="C7" s="16">
        <f>IFERROR(B7/SUM(B5:B14),0)</f>
        <v>0.11557788944723618</v>
      </c>
      <c r="D7" s="17">
        <f>IFERROR(AVERAGEIF('🏥 Patient Data'!I3:I201,A7,'🏥 Patient Data'!L3:L201),0)</f>
        <v>7.9565217391304346</v>
      </c>
      <c r="E7" s="18">
        <f>IFERROR(AVERAGEIF('🏥 Patient Data'!I3:I201,A7,'🏥 Patient Data'!M3:M201),0)</f>
        <v>37796.054782608706</v>
      </c>
      <c r="F7" s="17">
        <f>IFERROR(AVERAGEIF('🏥 Patient Data'!I3:I201,A7,'🏥 Patient Data'!N3:N201),0)</f>
        <v>84.173913043478265</v>
      </c>
      <c r="G7" s="15">
        <f>COUNTIFS('🏥 Patient Data'!I3:I201,A7,'🏥 Patient Data'!K3:K201,"Recovered")</f>
        <v>5</v>
      </c>
      <c r="H7" s="16">
        <f t="shared" si="0"/>
        <v>0.21739130434782608</v>
      </c>
    </row>
    <row r="8" spans="1:8" ht="15" customHeight="1" x14ac:dyDescent="0.45">
      <c r="A8" s="19" t="s">
        <v>29</v>
      </c>
      <c r="B8" s="20">
        <f>COUNTIF('🏥 Patient Data'!I3:I201,A8)</f>
        <v>19</v>
      </c>
      <c r="C8" s="21">
        <f>IFERROR(B8/SUM(B5:B14),0)</f>
        <v>9.5477386934673364E-2</v>
      </c>
      <c r="D8" s="22">
        <f>IFERROR(AVERAGEIF('🏥 Patient Data'!I3:I201,A8,'🏥 Patient Data'!L3:L201),0)</f>
        <v>8</v>
      </c>
      <c r="E8" s="23">
        <f>IFERROR(AVERAGEIF('🏥 Patient Data'!I3:I201,A8,'🏥 Patient Data'!M3:M201),0)</f>
        <v>49060.26947368421</v>
      </c>
      <c r="F8" s="22">
        <f>IFERROR(AVERAGEIF('🏥 Patient Data'!I3:I201,A8,'🏥 Patient Data'!N3:N201),0)</f>
        <v>83.263157894736835</v>
      </c>
      <c r="G8" s="20">
        <f>COUNTIFS('🏥 Patient Data'!I3:I201,A8,'🏥 Patient Data'!K3:K201,"Recovered")</f>
        <v>5</v>
      </c>
      <c r="H8" s="21">
        <f t="shared" si="0"/>
        <v>0.26315789473684209</v>
      </c>
    </row>
    <row r="9" spans="1:8" ht="15" customHeight="1" x14ac:dyDescent="0.45">
      <c r="A9" s="14" t="s">
        <v>40</v>
      </c>
      <c r="B9" s="15">
        <f>COUNTIF('🏥 Patient Data'!I3:I201,A9)</f>
        <v>28</v>
      </c>
      <c r="C9" s="16">
        <f>IFERROR(B9/SUM(B5:B14),0)</f>
        <v>0.1407035175879397</v>
      </c>
      <c r="D9" s="17">
        <f>IFERROR(AVERAGEIF('🏥 Patient Data'!I3:I201,A9,'🏥 Patient Data'!L3:L201),0)</f>
        <v>7.25</v>
      </c>
      <c r="E9" s="18">
        <f>IFERROR(AVERAGEIF('🏥 Patient Data'!I3:I201,A9,'🏥 Patient Data'!M3:M201),0)</f>
        <v>41124.83678571428</v>
      </c>
      <c r="F9" s="17">
        <f>IFERROR(AVERAGEIF('🏥 Patient Data'!I3:I201,A9,'🏥 Patient Data'!N3:N201),0)</f>
        <v>84.785714285714292</v>
      </c>
      <c r="G9" s="15">
        <f>COUNTIFS('🏥 Patient Data'!I3:I201,A9,'🏥 Patient Data'!K3:K201,"Recovered")</f>
        <v>6</v>
      </c>
      <c r="H9" s="16">
        <f t="shared" si="0"/>
        <v>0.21428571428571427</v>
      </c>
    </row>
    <row r="10" spans="1:8" ht="15" customHeight="1" x14ac:dyDescent="0.45">
      <c r="A10" s="19" t="s">
        <v>77</v>
      </c>
      <c r="B10" s="20">
        <f>COUNTIF('🏥 Patient Data'!I3:I201,A10)</f>
        <v>16</v>
      </c>
      <c r="C10" s="21">
        <f>IFERROR(B10/SUM(B5:B14),0)</f>
        <v>8.0402010050251257E-2</v>
      </c>
      <c r="D10" s="22">
        <f>IFERROR(AVERAGEIF('🏥 Patient Data'!I3:I201,A10,'🏥 Patient Data'!L3:L201),0)</f>
        <v>6.8125</v>
      </c>
      <c r="E10" s="23">
        <f>IFERROR(AVERAGEIF('🏥 Patient Data'!I3:I201,A10,'🏥 Patient Data'!M3:M201),0)</f>
        <v>26832.238124999996</v>
      </c>
      <c r="F10" s="22">
        <f>IFERROR(AVERAGEIF('🏥 Patient Data'!I3:I201,A10,'🏥 Patient Data'!N3:N201),0)</f>
        <v>86.3125</v>
      </c>
      <c r="G10" s="20">
        <f>COUNTIFS('🏥 Patient Data'!I3:I201,A10,'🏥 Patient Data'!K3:K201,"Recovered")</f>
        <v>3</v>
      </c>
      <c r="H10" s="21">
        <f t="shared" si="0"/>
        <v>0.1875</v>
      </c>
    </row>
    <row r="11" spans="1:8" ht="15" customHeight="1" x14ac:dyDescent="0.45">
      <c r="A11" s="14" t="s">
        <v>64</v>
      </c>
      <c r="B11" s="15">
        <f>COUNTIF('🏥 Patient Data'!I3:I201,A11)</f>
        <v>22</v>
      </c>
      <c r="C11" s="16">
        <f>IFERROR(B11/SUM(B5:B14),0)</f>
        <v>0.11055276381909548</v>
      </c>
      <c r="D11" s="17">
        <f>IFERROR(AVERAGEIF('🏥 Patient Data'!I3:I201,A11,'🏥 Patient Data'!L3:L201),0)</f>
        <v>7.6818181818181817</v>
      </c>
      <c r="E11" s="18">
        <f>IFERROR(AVERAGEIF('🏥 Patient Data'!I3:I201,A11,'🏥 Patient Data'!M3:M201),0)</f>
        <v>40679.267727272731</v>
      </c>
      <c r="F11" s="17">
        <f>IFERROR(AVERAGEIF('🏥 Patient Data'!I3:I201,A11,'🏥 Patient Data'!N3:N201),0)</f>
        <v>85.272727272727266</v>
      </c>
      <c r="G11" s="15">
        <f>COUNTIFS('🏥 Patient Data'!I3:I201,A11,'🏥 Patient Data'!K3:K201,"Recovered")</f>
        <v>5</v>
      </c>
      <c r="H11" s="16">
        <f t="shared" si="0"/>
        <v>0.22727272727272727</v>
      </c>
    </row>
    <row r="12" spans="1:8" ht="15" customHeight="1" x14ac:dyDescent="0.45">
      <c r="A12" s="19" t="s">
        <v>101</v>
      </c>
      <c r="B12" s="20">
        <f>COUNTIF('🏥 Patient Data'!I3:I201,A12)</f>
        <v>20</v>
      </c>
      <c r="C12" s="21">
        <f>IFERROR(B12/SUM(B5:B14),0)</f>
        <v>0.10050251256281408</v>
      </c>
      <c r="D12" s="22">
        <f>IFERROR(AVERAGEIF('🏥 Patient Data'!I3:I201,A12,'🏥 Patient Data'!L3:L201),0)</f>
        <v>7.05</v>
      </c>
      <c r="E12" s="23">
        <f>IFERROR(AVERAGEIF('🏥 Patient Data'!I3:I201,A12,'🏥 Patient Data'!M3:M201),0)</f>
        <v>53278.232000000004</v>
      </c>
      <c r="F12" s="22">
        <f>IFERROR(AVERAGEIF('🏥 Patient Data'!I3:I201,A12,'🏥 Patient Data'!N3:N201),0)</f>
        <v>83.55</v>
      </c>
      <c r="G12" s="20">
        <f>COUNTIFS('🏥 Patient Data'!I3:I201,A12,'🏥 Patient Data'!K3:K201,"Recovered")</f>
        <v>1</v>
      </c>
      <c r="H12" s="21">
        <f t="shared" si="0"/>
        <v>0.05</v>
      </c>
    </row>
    <row r="13" spans="1:8" ht="15" customHeight="1" x14ac:dyDescent="0.45">
      <c r="A13" s="14" t="s">
        <v>88</v>
      </c>
      <c r="B13" s="15">
        <f>COUNTIF('🏥 Patient Data'!I3:I201,A13)</f>
        <v>15</v>
      </c>
      <c r="C13" s="16">
        <f>IFERROR(B13/SUM(B5:B14),0)</f>
        <v>7.5376884422110546E-2</v>
      </c>
      <c r="D13" s="17">
        <f>IFERROR(AVERAGEIF('🏥 Patient Data'!I3:I201,A13,'🏥 Patient Data'!L3:L201),0)</f>
        <v>7.7333333333333334</v>
      </c>
      <c r="E13" s="18">
        <f>IFERROR(AVERAGEIF('🏥 Patient Data'!I3:I201,A13,'🏥 Patient Data'!M3:M201),0)</f>
        <v>38998.273333333331</v>
      </c>
      <c r="F13" s="17">
        <f>IFERROR(AVERAGEIF('🏥 Patient Data'!I3:I201,A13,'🏥 Patient Data'!N3:N201),0)</f>
        <v>88</v>
      </c>
      <c r="G13" s="15">
        <f>COUNTIFS('🏥 Patient Data'!I3:I201,A13,'🏥 Patient Data'!K3:K201,"Recovered")</f>
        <v>3</v>
      </c>
      <c r="H13" s="16">
        <f t="shared" si="0"/>
        <v>0.2</v>
      </c>
    </row>
    <row r="14" spans="1:8" ht="15" customHeight="1" x14ac:dyDescent="0.45">
      <c r="A14" s="19" t="s">
        <v>46</v>
      </c>
      <c r="B14" s="20">
        <f>COUNTIF('🏥 Patient Data'!I3:I201,A14)</f>
        <v>18</v>
      </c>
      <c r="C14" s="21">
        <f>IFERROR(B14/SUM(B5:B14),0)</f>
        <v>9.0452261306532666E-2</v>
      </c>
      <c r="D14" s="22">
        <f>IFERROR(AVERAGEIF('🏥 Patient Data'!I3:I201,A14,'🏥 Patient Data'!L3:L201),0)</f>
        <v>6</v>
      </c>
      <c r="E14" s="23">
        <f>IFERROR(AVERAGEIF('🏥 Patient Data'!I3:I201,A14,'🏥 Patient Data'!M3:M201),0)</f>
        <v>46878.731666666667</v>
      </c>
      <c r="F14" s="22">
        <f>IFERROR(AVERAGEIF('🏥 Patient Data'!I3:I201,A14,'🏥 Patient Data'!N3:N201),0)</f>
        <v>85.833333333333329</v>
      </c>
      <c r="G14" s="20">
        <f>COUNTIFS('🏥 Patient Data'!I3:I201,A14,'🏥 Patient Data'!K3:K201,"Recovered")</f>
        <v>5</v>
      </c>
      <c r="H14" s="21">
        <f t="shared" si="0"/>
        <v>0.27777777777777779</v>
      </c>
    </row>
    <row r="15" spans="1:8" ht="15" customHeight="1" x14ac:dyDescent="0.45">
      <c r="A15" s="13" t="s">
        <v>408</v>
      </c>
      <c r="B15" s="13">
        <f>SUM(B5:B14)</f>
        <v>199</v>
      </c>
      <c r="C15" s="24">
        <f>SUM(C5:C14)</f>
        <v>1</v>
      </c>
      <c r="D15" s="25">
        <f>AVERAGE(D5:D14)</f>
        <v>7.2773062143170835</v>
      </c>
      <c r="E15" s="26">
        <f>AVERAGE(E5:E14)</f>
        <v>42284.566206094663</v>
      </c>
      <c r="F15" s="25">
        <f>AVERAGE(F5:F14)</f>
        <v>85.290245694110098</v>
      </c>
      <c r="G15" s="13">
        <f>SUM(G5:G14)</f>
        <v>38</v>
      </c>
      <c r="H15" s="24">
        <f>AVERAGE(H5:H14)</f>
        <v>0.18984965295319989</v>
      </c>
    </row>
    <row r="17" spans="1:6" ht="27.75" customHeight="1" x14ac:dyDescent="0.45">
      <c r="A17" s="67" t="s">
        <v>409</v>
      </c>
      <c r="B17" s="67"/>
      <c r="C17" s="67"/>
      <c r="D17" s="67"/>
      <c r="E17" s="67"/>
      <c r="F17" s="67"/>
    </row>
    <row r="18" spans="1:6" ht="15" customHeight="1" x14ac:dyDescent="0.45">
      <c r="A18" s="27" t="s">
        <v>7</v>
      </c>
      <c r="B18" s="27" t="s">
        <v>410</v>
      </c>
      <c r="C18" s="27" t="s">
        <v>405</v>
      </c>
      <c r="D18" s="27" t="s">
        <v>411</v>
      </c>
      <c r="E18" s="27" t="s">
        <v>412</v>
      </c>
      <c r="F18" s="27" t="s">
        <v>413</v>
      </c>
    </row>
    <row r="19" spans="1:6" ht="15" customHeight="1" x14ac:dyDescent="0.45">
      <c r="A19" s="14" t="s">
        <v>57</v>
      </c>
      <c r="B19" s="15">
        <f>COUNTIF('🏥 Patient Data'!H3:H201,A19)</f>
        <v>41</v>
      </c>
      <c r="C19" s="17">
        <f>IFERROR(AVERAGEIF('🏥 Patient Data'!H3:H201,A19,'🏥 Patient Data'!N3:N201),0)</f>
        <v>86.195121951219505</v>
      </c>
      <c r="D19" s="17">
        <f>IFERROR(AVERAGEIF('🏥 Patient Data'!H3:H201,A19,'🏥 Patient Data'!L3:L201),0)</f>
        <v>6.6829268292682924</v>
      </c>
      <c r="E19" s="18">
        <f>IFERROR(AVERAGEIF('🏥 Patient Data'!H3:H201,A19,'🏥 Patient Data'!M3:M201),0)</f>
        <v>39439.811219512194</v>
      </c>
      <c r="F19" s="16">
        <f>IFERROR(COUNTIFS('🏥 Patient Data'!H3:H201,A19,'🏥 Patient Data'!K3:K201,"Recovered")/COUNTIF('🏥 Patient Data'!H3:H201,A19),0)</f>
        <v>9.7560975609756101E-2</v>
      </c>
    </row>
    <row r="20" spans="1:6" ht="15" customHeight="1" x14ac:dyDescent="0.45">
      <c r="A20" s="19" t="s">
        <v>54</v>
      </c>
      <c r="B20" s="20">
        <f>COUNTIF('🏥 Patient Data'!H3:H201,A20)</f>
        <v>36</v>
      </c>
      <c r="C20" s="22">
        <f>IFERROR(AVERAGEIF('🏥 Patient Data'!H3:H201,A20,'🏥 Patient Data'!N3:N201),0)</f>
        <v>85.583333333333329</v>
      </c>
      <c r="D20" s="22">
        <f>IFERROR(AVERAGEIF('🏥 Patient Data'!H3:H201,A20,'🏥 Patient Data'!L3:L201),0)</f>
        <v>8.0555555555555554</v>
      </c>
      <c r="E20" s="23">
        <f>IFERROR(AVERAGEIF('🏥 Patient Data'!H3:H201,A20,'🏥 Patient Data'!M3:M201),0)</f>
        <v>38704.07916666667</v>
      </c>
      <c r="F20" s="21">
        <f>IFERROR(COUNTIFS('🏥 Patient Data'!H3:H201,A20,'🏥 Patient Data'!K3:K201,"Recovered")/COUNTIF('🏥 Patient Data'!H3:H201,A20),0)</f>
        <v>0.19444444444444445</v>
      </c>
    </row>
    <row r="21" spans="1:6" ht="15" customHeight="1" x14ac:dyDescent="0.45">
      <c r="A21" s="14" t="s">
        <v>28</v>
      </c>
      <c r="B21" s="15">
        <f>COUNTIF('🏥 Patient Data'!H3:H201,A21)</f>
        <v>47</v>
      </c>
      <c r="C21" s="17">
        <f>IFERROR(AVERAGEIF('🏥 Patient Data'!H3:H201,A21,'🏥 Patient Data'!N3:N201),0)</f>
        <v>84.829787234042556</v>
      </c>
      <c r="D21" s="17">
        <f>IFERROR(AVERAGEIF('🏥 Patient Data'!H3:H201,A21,'🏥 Patient Data'!L3:L201),0)</f>
        <v>7.7659574468085104</v>
      </c>
      <c r="E21" s="18">
        <f>IFERROR(AVERAGEIF('🏥 Patient Data'!H3:H201,A21,'🏥 Patient Data'!M3:M201),0)</f>
        <v>43336.86191489362</v>
      </c>
      <c r="F21" s="16">
        <f>IFERROR(COUNTIFS('🏥 Patient Data'!H3:H201,A21,'🏥 Patient Data'!K3:K201,"Recovered")/COUNTIF('🏥 Patient Data'!H3:H201,A21),0)</f>
        <v>0.27659574468085107</v>
      </c>
    </row>
    <row r="22" spans="1:6" ht="15" customHeight="1" x14ac:dyDescent="0.45">
      <c r="A22" s="19" t="s">
        <v>17</v>
      </c>
      <c r="B22" s="20">
        <f>COUNTIF('🏥 Patient Data'!H3:H201,A22)</f>
        <v>39</v>
      </c>
      <c r="C22" s="22">
        <f>IFERROR(AVERAGEIF('🏥 Patient Data'!H3:H201,A22,'🏥 Patient Data'!N3:N201),0)</f>
        <v>83.641025641025635</v>
      </c>
      <c r="D22" s="22">
        <f>IFERROR(AVERAGEIF('🏥 Patient Data'!H3:H201,A22,'🏥 Patient Data'!L3:L201),0)</f>
        <v>6.6410256410256414</v>
      </c>
      <c r="E22" s="23">
        <f>IFERROR(AVERAGEIF('🏥 Patient Data'!H3:H201,A22,'🏥 Patient Data'!M3:M201),0)</f>
        <v>42582.649230769246</v>
      </c>
      <c r="F22" s="21">
        <f>IFERROR(COUNTIFS('🏥 Patient Data'!H3:H201,A22,'🏥 Patient Data'!K3:K201,"Recovered")/COUNTIF('🏥 Patient Data'!H3:H201,A22),0)</f>
        <v>0.15384615384615385</v>
      </c>
    </row>
    <row r="23" spans="1:6" ht="15" customHeight="1" x14ac:dyDescent="0.45">
      <c r="A23" s="14" t="s">
        <v>35</v>
      </c>
      <c r="B23" s="15">
        <f>COUNTIF('🏥 Patient Data'!H3:H201,A23)</f>
        <v>36</v>
      </c>
      <c r="C23" s="17">
        <f>IFERROR(AVERAGEIF('🏥 Patient Data'!H3:H201,A23,'🏥 Patient Data'!N3:N201),0)</f>
        <v>85.555555555555557</v>
      </c>
      <c r="D23" s="17">
        <f>IFERROR(AVERAGEIF('🏥 Patient Data'!H3:H201,A23,'🏥 Patient Data'!L3:L201),0)</f>
        <v>7.416666666666667</v>
      </c>
      <c r="E23" s="18">
        <f>IFERROR(AVERAGEIF('🏥 Patient Data'!H3:H201,A23,'🏥 Patient Data'!M3:M201),0)</f>
        <v>48129.412222222221</v>
      </c>
      <c r="F23" s="16">
        <f>IFERROR(COUNTIFS('🏥 Patient Data'!H3:H201,A23,'🏥 Patient Data'!K3:K201,"Recovered")/COUNTIF('🏥 Patient Data'!H3:H201,A23),0)</f>
        <v>0.22222222222222221</v>
      </c>
    </row>
    <row r="26" spans="1:6" ht="27.75" customHeight="1" x14ac:dyDescent="0.45">
      <c r="A26" s="68" t="s">
        <v>414</v>
      </c>
      <c r="B26" s="68"/>
      <c r="C26" s="68"/>
      <c r="D26" s="68"/>
      <c r="E26" s="68"/>
    </row>
    <row r="27" spans="1:6" ht="15" customHeight="1" x14ac:dyDescent="0.45">
      <c r="A27" s="28" t="s">
        <v>6</v>
      </c>
      <c r="B27" s="28" t="s">
        <v>415</v>
      </c>
      <c r="C27" s="28" t="s">
        <v>411</v>
      </c>
      <c r="D27" s="28" t="s">
        <v>412</v>
      </c>
      <c r="E27" s="28" t="s">
        <v>405</v>
      </c>
    </row>
    <row r="28" spans="1:6" ht="15" customHeight="1" x14ac:dyDescent="0.45">
      <c r="A28" s="19" t="s">
        <v>68</v>
      </c>
      <c r="B28" s="20">
        <f>COUNTIF('🏥 Patient Data'!G3:G201,A28)</f>
        <v>38</v>
      </c>
      <c r="C28" s="22">
        <f>IFERROR(AVERAGEIF('🏥 Patient Data'!G3:G201,A28,'🏥 Patient Data'!L3:L201),0)</f>
        <v>6.7631578947368425</v>
      </c>
      <c r="D28" s="23">
        <f>IFERROR(AVERAGEIF('🏥 Patient Data'!G3:G201,A28,'🏥 Patient Data'!M3:M201),0)</f>
        <v>41468.377631578944</v>
      </c>
      <c r="E28" s="22">
        <f>IFERROR(AVERAGEIF('🏥 Patient Data'!G3:G201,A28,'🏥 Patient Data'!N3:N201),0)</f>
        <v>84.263157894736835</v>
      </c>
    </row>
    <row r="29" spans="1:6" ht="15" customHeight="1" x14ac:dyDescent="0.45">
      <c r="A29" s="14" t="s">
        <v>45</v>
      </c>
      <c r="B29" s="15">
        <f>COUNTIF('🏥 Patient Data'!G3:G201,A29)</f>
        <v>22</v>
      </c>
      <c r="C29" s="17">
        <f>IFERROR(AVERAGEIF('🏥 Patient Data'!G3:G201,A29,'🏥 Patient Data'!L3:L201),0)</f>
        <v>7.8181818181818183</v>
      </c>
      <c r="D29" s="18">
        <f>IFERROR(AVERAGEIF('🏥 Patient Data'!G3:G201,A29,'🏥 Patient Data'!M3:M201),0)</f>
        <v>39782.272727272728</v>
      </c>
      <c r="E29" s="17">
        <f>IFERROR(AVERAGEIF('🏥 Patient Data'!G3:G201,A29,'🏥 Patient Data'!N3:N201),0)</f>
        <v>87.045454545454547</v>
      </c>
    </row>
    <row r="30" spans="1:6" ht="15" customHeight="1" x14ac:dyDescent="0.45">
      <c r="A30" s="19" t="s">
        <v>27</v>
      </c>
      <c r="B30" s="20">
        <f>COUNTIF('🏥 Patient Data'!G3:G201,A30)</f>
        <v>46</v>
      </c>
      <c r="C30" s="22">
        <f>IFERROR(AVERAGEIF('🏥 Patient Data'!G3:G201,A30,'🏥 Patient Data'!L3:L201),0)</f>
        <v>7.0869565217391308</v>
      </c>
      <c r="D30" s="23">
        <f>IFERROR(AVERAGEIF('🏥 Patient Data'!G3:G201,A30,'🏥 Patient Data'!M3:M201),0)</f>
        <v>42628.116739130441</v>
      </c>
      <c r="E30" s="22">
        <f>IFERROR(AVERAGEIF('🏥 Patient Data'!G3:G201,A30,'🏥 Patient Data'!N3:N201),0)</f>
        <v>84.304347826086953</v>
      </c>
    </row>
    <row r="31" spans="1:6" ht="15" customHeight="1" x14ac:dyDescent="0.45">
      <c r="A31" s="14" t="s">
        <v>71</v>
      </c>
      <c r="B31" s="15">
        <f>COUNTIF('🏥 Patient Data'!G3:G201,A31)</f>
        <v>43</v>
      </c>
      <c r="C31" s="17">
        <f>IFERROR(AVERAGEIF('🏥 Patient Data'!G3:G201,A31,'🏥 Patient Data'!L3:L201),0)</f>
        <v>7.4883720930232558</v>
      </c>
      <c r="D31" s="18">
        <f>IFERROR(AVERAGEIF('🏥 Patient Data'!G3:G201,A31,'🏥 Patient Data'!M3:M201),0)</f>
        <v>43486.813023255811</v>
      </c>
      <c r="E31" s="17">
        <f>IFERROR(AVERAGEIF('🏥 Patient Data'!G3:G201,A31,'🏥 Patient Data'!N3:N201),0)</f>
        <v>87</v>
      </c>
    </row>
    <row r="32" spans="1:6" ht="15" customHeight="1" x14ac:dyDescent="0.45">
      <c r="A32" s="19" t="s">
        <v>16</v>
      </c>
      <c r="B32" s="20">
        <f>COUNTIF('🏥 Patient Data'!G3:G201,A32)</f>
        <v>50</v>
      </c>
      <c r="C32" s="22">
        <f>IFERROR(AVERAGEIF('🏥 Patient Data'!G3:G201,A32,'🏥 Patient Data'!L3:L201),0)</f>
        <v>7.56</v>
      </c>
      <c r="D32" s="23">
        <f>IFERROR(AVERAGEIF('🏥 Patient Data'!G3:G201,A32,'🏥 Patient Data'!M3:M201),0)</f>
        <v>43175.181999999993</v>
      </c>
      <c r="E32" s="22">
        <f>IFERROR(AVERAGEIF('🏥 Patient Data'!G3:G201,A32,'🏥 Patient Data'!N3:N201),0)</f>
        <v>84.16</v>
      </c>
    </row>
    <row r="35" spans="1:5" ht="27.75" customHeight="1" x14ac:dyDescent="0.45">
      <c r="A35" s="69" t="s">
        <v>416</v>
      </c>
      <c r="B35" s="69"/>
      <c r="C35" s="69"/>
      <c r="D35" s="69"/>
    </row>
    <row r="36" spans="1:5" ht="15" customHeight="1" x14ac:dyDescent="0.45">
      <c r="A36" s="29" t="s">
        <v>10</v>
      </c>
      <c r="B36" s="29" t="s">
        <v>417</v>
      </c>
      <c r="C36" s="29" t="s">
        <v>418</v>
      </c>
      <c r="D36" s="29" t="s">
        <v>405</v>
      </c>
    </row>
    <row r="37" spans="1:5" ht="15" customHeight="1" x14ac:dyDescent="0.45">
      <c r="A37" s="14" t="s">
        <v>20</v>
      </c>
      <c r="B37" s="15">
        <f>COUNTIF('🏥 Patient Data'!K3:K201,A37)</f>
        <v>38</v>
      </c>
      <c r="C37" s="16">
        <f>IFERROR(B37/200,0)</f>
        <v>0.19</v>
      </c>
      <c r="D37" s="17">
        <f>IFERROR(AVERAGEIF('🏥 Patient Data'!K3:K201,A37,'🏥 Patient Data'!N3:N201),0)</f>
        <v>87.55263157894737</v>
      </c>
    </row>
    <row r="38" spans="1:5" ht="15" customHeight="1" x14ac:dyDescent="0.45">
      <c r="A38" s="19" t="s">
        <v>31</v>
      </c>
      <c r="B38" s="20">
        <f>COUNTIF('🏥 Patient Data'!K3:K201,A38)</f>
        <v>34</v>
      </c>
      <c r="C38" s="21">
        <f>IFERROR(B38/200,0)</f>
        <v>0.17</v>
      </c>
      <c r="D38" s="22">
        <f>IFERROR(AVERAGEIF('🏥 Patient Data'!K3:K201,A38,'🏥 Patient Data'!N3:N201),0)</f>
        <v>84.117647058823536</v>
      </c>
    </row>
    <row r="39" spans="1:5" ht="15" customHeight="1" x14ac:dyDescent="0.45">
      <c r="A39" s="14" t="s">
        <v>50</v>
      </c>
      <c r="B39" s="15">
        <f>COUNTIF('🏥 Patient Data'!K3:K201,A39)</f>
        <v>43</v>
      </c>
      <c r="C39" s="16">
        <f>IFERROR(B39/200,0)</f>
        <v>0.215</v>
      </c>
      <c r="D39" s="17">
        <f>IFERROR(AVERAGEIF('🏥 Patient Data'!K3:K201,A39,'🏥 Patient Data'!N3:N201),0)</f>
        <v>84.720930232558146</v>
      </c>
    </row>
    <row r="40" spans="1:5" ht="15" customHeight="1" x14ac:dyDescent="0.45">
      <c r="A40" s="19" t="s">
        <v>42</v>
      </c>
      <c r="B40" s="20">
        <f>COUNTIF('🏥 Patient Data'!K3:K201,A40)</f>
        <v>47</v>
      </c>
      <c r="C40" s="21">
        <f>IFERROR(B40/200,0)</f>
        <v>0.23499999999999999</v>
      </c>
      <c r="D40" s="22">
        <f>IFERROR(AVERAGEIF('🏥 Patient Data'!K3:K201,A40,'🏥 Patient Data'!N3:N201),0)</f>
        <v>85.319148936170208</v>
      </c>
    </row>
    <row r="41" spans="1:5" ht="15" customHeight="1" x14ac:dyDescent="0.45">
      <c r="A41" s="14" t="s">
        <v>58</v>
      </c>
      <c r="B41" s="15">
        <f>COUNTIF('🏥 Patient Data'!K3:K201,A41)</f>
        <v>37</v>
      </c>
      <c r="C41" s="16">
        <f>IFERROR(B41/200,0)</f>
        <v>0.185</v>
      </c>
      <c r="D41" s="17">
        <f>IFERROR(AVERAGEIF('🏥 Patient Data'!K3:K201,A41,'🏥 Patient Data'!N3:N201),0)</f>
        <v>83.891891891891888</v>
      </c>
    </row>
    <row r="42" spans="1:5" ht="15" customHeight="1" x14ac:dyDescent="0.45">
      <c r="A42" s="64" t="s">
        <v>419</v>
      </c>
      <c r="B42" s="64"/>
      <c r="C42" s="64"/>
      <c r="D42" s="64"/>
    </row>
    <row r="43" spans="1:5" ht="15" customHeight="1" x14ac:dyDescent="0.45">
      <c r="A43" s="30" t="s">
        <v>20</v>
      </c>
      <c r="B43" s="31" t="s">
        <v>31</v>
      </c>
      <c r="C43" s="32" t="s">
        <v>50</v>
      </c>
      <c r="D43" s="33" t="s">
        <v>42</v>
      </c>
      <c r="E43" s="34" t="s">
        <v>58</v>
      </c>
    </row>
  </sheetData>
  <mergeCells count="6">
    <mergeCell ref="A42:D42"/>
    <mergeCell ref="A1:H1"/>
    <mergeCell ref="A3:H3"/>
    <mergeCell ref="A17:F17"/>
    <mergeCell ref="A26:E26"/>
    <mergeCell ref="A35:D3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</sheetPr>
  <dimension ref="A1:AP89"/>
  <sheetViews>
    <sheetView showGridLines="0" tabSelected="1" zoomScale="38" zoomScaleNormal="100" workbookViewId="0">
      <selection activeCell="BC49" sqref="BC49"/>
    </sheetView>
  </sheetViews>
  <sheetFormatPr defaultColWidth="8.6640625" defaultRowHeight="14.25" x14ac:dyDescent="0.45"/>
  <cols>
    <col min="1" max="24" width="7.796875" customWidth="1"/>
    <col min="26" max="26" width="15.59765625" bestFit="1" customWidth="1"/>
    <col min="29" max="29" width="10.59765625" bestFit="1" customWidth="1"/>
    <col min="32" max="32" width="10.265625" bestFit="1" customWidth="1"/>
    <col min="35" max="35" width="9.6640625" bestFit="1" customWidth="1"/>
    <col min="38" max="38" width="10.46484375" bestFit="1" customWidth="1"/>
    <col min="39" max="39" width="14.33203125" bestFit="1" customWidth="1"/>
  </cols>
  <sheetData>
    <row r="1" spans="1:42" ht="39.75" customHeight="1" x14ac:dyDescent="0.45">
      <c r="A1" s="36" t="s">
        <v>420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Z1" s="35" t="s">
        <v>8</v>
      </c>
      <c r="AA1" s="35" t="s">
        <v>417</v>
      </c>
      <c r="AC1" s="35" t="s">
        <v>10</v>
      </c>
      <c r="AD1" s="35" t="s">
        <v>417</v>
      </c>
      <c r="AF1" s="35" t="s">
        <v>6</v>
      </c>
      <c r="AG1" s="35" t="s">
        <v>417</v>
      </c>
      <c r="AI1" s="35" t="s">
        <v>421</v>
      </c>
      <c r="AJ1" s="35" t="s">
        <v>422</v>
      </c>
      <c r="AL1" s="35" t="s">
        <v>7</v>
      </c>
      <c r="AM1" s="35" t="s">
        <v>405</v>
      </c>
      <c r="AO1" s="35" t="s">
        <v>5</v>
      </c>
      <c r="AP1" s="35" t="s">
        <v>417</v>
      </c>
    </row>
    <row r="2" spans="1:42" ht="18" customHeight="1" x14ac:dyDescent="0.45">
      <c r="A2" s="37" t="s">
        <v>423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Z2" t="s">
        <v>23</v>
      </c>
      <c r="AA2">
        <f>COUNTIF('🏥 Patient Data'!I3:I201,Z2)</f>
        <v>18</v>
      </c>
      <c r="AC2" t="s">
        <v>20</v>
      </c>
      <c r="AD2">
        <f>COUNTIF('🏥 Patient Data'!K3:K201,AC2)</f>
        <v>38</v>
      </c>
      <c r="AF2" t="s">
        <v>68</v>
      </c>
      <c r="AG2">
        <f>COUNTIF('🏥 Patient Data'!G3:G201,AF2)</f>
        <v>38</v>
      </c>
      <c r="AI2" t="s">
        <v>424</v>
      </c>
      <c r="AJ2">
        <f>COUNTIFS('🏥 Patient Data'!L3:L201,"&gt;="&amp;1,'🏥 Patient Data'!L3:L201,"&lt;="&amp;2)</f>
        <v>31</v>
      </c>
      <c r="AL2" t="s">
        <v>57</v>
      </c>
      <c r="AM2">
        <f>IFERROR(AVERAGEIF('🏥 Patient Data'!H3:H201,AL2,'🏥 Patient Data'!N3:N201),0)</f>
        <v>86.195121951219505</v>
      </c>
      <c r="AO2" t="s">
        <v>15</v>
      </c>
      <c r="AP2">
        <f>COUNTIF('🏥 Patient Data'!F3:F201,"Male")</f>
        <v>119</v>
      </c>
    </row>
    <row r="3" spans="1:42" ht="18" customHeight="1" x14ac:dyDescent="0.45">
      <c r="Z3" t="s">
        <v>18</v>
      </c>
      <c r="AA3">
        <f>COUNTIF('🏥 Patient Data'!I3:I201,Z3)</f>
        <v>20</v>
      </c>
      <c r="AC3" t="s">
        <v>31</v>
      </c>
      <c r="AD3">
        <f>COUNTIF('🏥 Patient Data'!K3:K201,AC3)</f>
        <v>34</v>
      </c>
      <c r="AF3" t="s">
        <v>45</v>
      </c>
      <c r="AG3">
        <f>COUNTIF('🏥 Patient Data'!G3:G201,AF3)</f>
        <v>22</v>
      </c>
      <c r="AI3" t="s">
        <v>425</v>
      </c>
      <c r="AJ3">
        <f>COUNTIFS('🏥 Patient Data'!L3:L201,"&gt;="&amp;3,'🏥 Patient Data'!L3:L201,"&lt;="&amp;4)</f>
        <v>25</v>
      </c>
      <c r="AL3" t="s">
        <v>54</v>
      </c>
      <c r="AM3">
        <f>IFERROR(AVERAGEIF('🏥 Patient Data'!H3:H201,AL3,'🏥 Patient Data'!N3:N201),0)</f>
        <v>85.583333333333329</v>
      </c>
      <c r="AO3" t="s">
        <v>26</v>
      </c>
      <c r="AP3">
        <f>COUNTIF('🏥 Patient Data'!F3:F201,"Female")</f>
        <v>80</v>
      </c>
    </row>
    <row r="4" spans="1:42" ht="19.5" customHeight="1" x14ac:dyDescent="0.45">
      <c r="A4" s="38" t="s">
        <v>426</v>
      </c>
      <c r="B4" s="38"/>
      <c r="C4" s="38"/>
      <c r="D4" s="38"/>
      <c r="E4" s="39" t="s">
        <v>427</v>
      </c>
      <c r="F4" s="39"/>
      <c r="G4" s="39"/>
      <c r="H4" s="39"/>
      <c r="I4" s="40" t="s">
        <v>428</v>
      </c>
      <c r="J4" s="40"/>
      <c r="K4" s="40"/>
      <c r="L4" s="40"/>
      <c r="M4" s="41" t="s">
        <v>429</v>
      </c>
      <c r="N4" s="41"/>
      <c r="O4" s="41"/>
      <c r="P4" s="41"/>
      <c r="Q4" s="42" t="s">
        <v>430</v>
      </c>
      <c r="R4" s="42"/>
      <c r="S4" s="42"/>
      <c r="T4" s="42"/>
      <c r="U4" s="43" t="s">
        <v>431</v>
      </c>
      <c r="V4" s="43"/>
      <c r="W4" s="43"/>
      <c r="X4" s="43"/>
      <c r="Z4" t="s">
        <v>36</v>
      </c>
      <c r="AA4">
        <f>COUNTIF('🏥 Patient Data'!I3:I201,Z4)</f>
        <v>23</v>
      </c>
      <c r="AC4" t="s">
        <v>50</v>
      </c>
      <c r="AD4">
        <f>COUNTIF('🏥 Patient Data'!K3:K201,AC4)</f>
        <v>43</v>
      </c>
      <c r="AF4" t="s">
        <v>27</v>
      </c>
      <c r="AG4">
        <f>COUNTIF('🏥 Patient Data'!G3:G201,AF4)</f>
        <v>46</v>
      </c>
      <c r="AI4" t="s">
        <v>432</v>
      </c>
      <c r="AJ4">
        <f>COUNTIFS('🏥 Patient Data'!L3:L201,"&gt;="&amp;5,'🏥 Patient Data'!L3:L201,"&lt;="&amp;6)</f>
        <v>31</v>
      </c>
      <c r="AL4" t="s">
        <v>28</v>
      </c>
      <c r="AM4">
        <f>IFERROR(AVERAGEIF('🏥 Patient Data'!H3:H201,AL4,'🏥 Patient Data'!N3:N201),0)</f>
        <v>84.829787234042556</v>
      </c>
    </row>
    <row r="5" spans="1:42" ht="19.5" customHeight="1" x14ac:dyDescent="0.45">
      <c r="A5" s="51">
        <f>COUNTA('🏥 Patient Data'!A3:A201)</f>
        <v>199</v>
      </c>
      <c r="B5" s="51"/>
      <c r="C5" s="51"/>
      <c r="D5" s="51"/>
      <c r="E5" s="52">
        <f>AVERAGE('🏥 Patient Data'!L3:L201)</f>
        <v>7.3115577889447234</v>
      </c>
      <c r="F5" s="52"/>
      <c r="G5" s="52"/>
      <c r="H5" s="52"/>
      <c r="I5" s="53">
        <f>AVERAGE('🏥 Patient Data'!M3:M201)</f>
        <v>42415.04412060303</v>
      </c>
      <c r="J5" s="53"/>
      <c r="K5" s="53"/>
      <c r="L5" s="53"/>
      <c r="M5" s="54">
        <f>AVERAGE('🏥 Patient Data'!N3:N201)</f>
        <v>85.145728643216074</v>
      </c>
      <c r="N5" s="54"/>
      <c r="O5" s="54"/>
      <c r="P5" s="54"/>
      <c r="Q5" s="55">
        <f>COUNTIF('🏥 Patient Data'!K3:K201,"Recovered")/200</f>
        <v>0.19</v>
      </c>
      <c r="R5" s="55"/>
      <c r="S5" s="55"/>
      <c r="T5" s="55"/>
      <c r="U5" s="44">
        <f>COUNTIF('🏥 Patient Data'!G3:G201,"ICU")</f>
        <v>22</v>
      </c>
      <c r="V5" s="44"/>
      <c r="W5" s="44"/>
      <c r="X5" s="44"/>
      <c r="Z5" t="s">
        <v>29</v>
      </c>
      <c r="AA5">
        <f>COUNTIF('🏥 Patient Data'!I3:I201,Z5)</f>
        <v>19</v>
      </c>
      <c r="AC5" t="s">
        <v>42</v>
      </c>
      <c r="AD5">
        <f>COUNTIF('🏥 Patient Data'!K3:K201,AC5)</f>
        <v>47</v>
      </c>
      <c r="AF5" t="s">
        <v>71</v>
      </c>
      <c r="AG5">
        <f>COUNTIF('🏥 Patient Data'!G3:G201,AF5)</f>
        <v>43</v>
      </c>
      <c r="AI5" t="s">
        <v>433</v>
      </c>
      <c r="AJ5">
        <f>COUNTIFS('🏥 Patient Data'!L3:L201,"&gt;="&amp;7,'🏥 Patient Data'!L3:L201,"&lt;="&amp;9)</f>
        <v>50</v>
      </c>
      <c r="AL5" t="s">
        <v>17</v>
      </c>
      <c r="AM5">
        <f>IFERROR(AVERAGEIF('🏥 Patient Data'!H3:H201,AL5,'🏥 Patient Data'!N3:N201),0)</f>
        <v>83.641025641025635</v>
      </c>
    </row>
    <row r="6" spans="1:42" ht="19.5" customHeight="1" x14ac:dyDescent="0.45">
      <c r="A6" s="51"/>
      <c r="B6" s="51"/>
      <c r="C6" s="51"/>
      <c r="D6" s="51"/>
      <c r="E6" s="52"/>
      <c r="F6" s="52"/>
      <c r="G6" s="52"/>
      <c r="H6" s="52"/>
      <c r="I6" s="53"/>
      <c r="J6" s="53"/>
      <c r="K6" s="53"/>
      <c r="L6" s="53"/>
      <c r="M6" s="54"/>
      <c r="N6" s="54"/>
      <c r="O6" s="54"/>
      <c r="P6" s="54"/>
      <c r="Q6" s="55"/>
      <c r="R6" s="55"/>
      <c r="S6" s="55"/>
      <c r="T6" s="55"/>
      <c r="U6" s="44"/>
      <c r="V6" s="44"/>
      <c r="W6" s="44"/>
      <c r="X6" s="44"/>
      <c r="Z6" t="s">
        <v>40</v>
      </c>
      <c r="AA6">
        <f>COUNTIF('🏥 Patient Data'!I3:I201,Z6)</f>
        <v>28</v>
      </c>
      <c r="AC6" t="s">
        <v>58</v>
      </c>
      <c r="AD6">
        <f>COUNTIF('🏥 Patient Data'!K3:K201,AC6)</f>
        <v>37</v>
      </c>
      <c r="AF6" t="s">
        <v>16</v>
      </c>
      <c r="AG6">
        <f>COUNTIF('🏥 Patient Data'!G3:G201,AF6)</f>
        <v>50</v>
      </c>
      <c r="AI6" t="s">
        <v>434</v>
      </c>
      <c r="AJ6">
        <f>COUNTIFS('🏥 Patient Data'!L3:L201,"&gt;="&amp;10,'🏥 Patient Data'!L3:L201,"&lt;="&amp;99)</f>
        <v>62</v>
      </c>
      <c r="AL6" t="s">
        <v>35</v>
      </c>
      <c r="AM6">
        <f>IFERROR(AVERAGEIF('🏥 Patient Data'!H3:H201,AL6,'🏥 Patient Data'!N3:N201),0)</f>
        <v>85.555555555555557</v>
      </c>
    </row>
    <row r="7" spans="1:42" ht="19.5" customHeight="1" x14ac:dyDescent="0.45">
      <c r="A7" s="45" t="s">
        <v>435</v>
      </c>
      <c r="B7" s="45"/>
      <c r="C7" s="45"/>
      <c r="D7" s="45"/>
      <c r="E7" s="46" t="s">
        <v>436</v>
      </c>
      <c r="F7" s="46"/>
      <c r="G7" s="46"/>
      <c r="H7" s="46"/>
      <c r="I7" s="47" t="s">
        <v>437</v>
      </c>
      <c r="J7" s="47"/>
      <c r="K7" s="47"/>
      <c r="L7" s="47"/>
      <c r="M7" s="48" t="s">
        <v>438</v>
      </c>
      <c r="N7" s="48"/>
      <c r="O7" s="48"/>
      <c r="P7" s="48"/>
      <c r="Q7" s="49" t="s">
        <v>439</v>
      </c>
      <c r="R7" s="49"/>
      <c r="S7" s="49"/>
      <c r="T7" s="49"/>
      <c r="U7" s="50" t="s">
        <v>440</v>
      </c>
      <c r="V7" s="50"/>
      <c r="W7" s="50"/>
      <c r="X7" s="50"/>
      <c r="Z7" t="s">
        <v>77</v>
      </c>
      <c r="AA7">
        <f>COUNTIF('🏥 Patient Data'!I3:I201,Z7)</f>
        <v>16</v>
      </c>
    </row>
    <row r="8" spans="1:42" ht="19.5" customHeight="1" x14ac:dyDescent="0.45">
      <c r="A8" s="58"/>
      <c r="B8" s="58"/>
      <c r="C8" s="58"/>
      <c r="D8" s="58"/>
      <c r="E8" s="59"/>
      <c r="F8" s="59"/>
      <c r="G8" s="59"/>
      <c r="H8" s="59"/>
      <c r="I8" s="60"/>
      <c r="J8" s="60"/>
      <c r="K8" s="60"/>
      <c r="L8" s="60"/>
      <c r="M8" s="61"/>
      <c r="N8" s="61"/>
      <c r="O8" s="61"/>
      <c r="P8" s="61"/>
      <c r="Q8" s="62"/>
      <c r="R8" s="62"/>
      <c r="S8" s="62"/>
      <c r="T8" s="62"/>
      <c r="U8" s="56"/>
      <c r="V8" s="56"/>
      <c r="W8" s="56"/>
      <c r="X8" s="56"/>
      <c r="Z8" t="s">
        <v>64</v>
      </c>
      <c r="AA8">
        <f>COUNTIF('🏥 Patient Data'!I3:I201,Z8)</f>
        <v>22</v>
      </c>
    </row>
    <row r="9" spans="1:42" ht="18" customHeight="1" x14ac:dyDescent="0.45">
      <c r="Z9" t="s">
        <v>101</v>
      </c>
      <c r="AA9">
        <f>COUNTIF('🏥 Patient Data'!I3:I201,Z9)</f>
        <v>20</v>
      </c>
    </row>
    <row r="10" spans="1:42" ht="21.75" customHeight="1" x14ac:dyDescent="0.45">
      <c r="A10" s="57" t="s">
        <v>441</v>
      </c>
      <c r="B10" s="57"/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Z10" t="s">
        <v>88</v>
      </c>
      <c r="AA10">
        <f>COUNTIF('🏥 Patient Data'!I3:I201,Z10)</f>
        <v>15</v>
      </c>
    </row>
    <row r="11" spans="1:42" ht="18" customHeight="1" x14ac:dyDescent="0.45">
      <c r="Z11" t="s">
        <v>46</v>
      </c>
      <c r="AA11">
        <f>COUNTIF('🏥 Patient Data'!I3:I201,Z11)</f>
        <v>18</v>
      </c>
    </row>
    <row r="12" spans="1:42" ht="18" customHeight="1" x14ac:dyDescent="0.45"/>
    <row r="13" spans="1:42" ht="18" customHeight="1" x14ac:dyDescent="0.45"/>
    <row r="14" spans="1:42" ht="18" customHeight="1" x14ac:dyDescent="0.45"/>
    <row r="15" spans="1:42" ht="18" customHeight="1" x14ac:dyDescent="0.45"/>
    <row r="16" spans="1:42" ht="18" customHeight="1" x14ac:dyDescent="0.45"/>
    <row r="17" ht="18" customHeight="1" x14ac:dyDescent="0.45"/>
    <row r="18" ht="18" customHeight="1" x14ac:dyDescent="0.45"/>
    <row r="19" ht="18" customHeight="1" x14ac:dyDescent="0.45"/>
    <row r="20" ht="18" customHeight="1" x14ac:dyDescent="0.45"/>
    <row r="21" ht="18" customHeight="1" x14ac:dyDescent="0.45"/>
    <row r="22" ht="18" customHeight="1" x14ac:dyDescent="0.45"/>
    <row r="23" ht="18" customHeight="1" x14ac:dyDescent="0.45"/>
    <row r="24" ht="18" customHeight="1" x14ac:dyDescent="0.45"/>
    <row r="25" ht="18" customHeight="1" x14ac:dyDescent="0.45"/>
    <row r="26" ht="18" customHeight="1" x14ac:dyDescent="0.45"/>
    <row r="27" ht="18" customHeight="1" x14ac:dyDescent="0.45"/>
    <row r="28" ht="18" customHeight="1" x14ac:dyDescent="0.45"/>
    <row r="29" ht="18" customHeight="1" x14ac:dyDescent="0.45"/>
    <row r="30" ht="18" customHeight="1" x14ac:dyDescent="0.45"/>
    <row r="31" ht="18" customHeight="1" x14ac:dyDescent="0.45"/>
    <row r="32" ht="18" customHeight="1" x14ac:dyDescent="0.45"/>
    <row r="33" ht="18" customHeight="1" x14ac:dyDescent="0.45"/>
    <row r="34" ht="18" customHeight="1" x14ac:dyDescent="0.45"/>
    <row r="35" ht="18" customHeight="1" x14ac:dyDescent="0.45"/>
    <row r="36" ht="18" customHeight="1" x14ac:dyDescent="0.45"/>
    <row r="37" ht="18" customHeight="1" x14ac:dyDescent="0.45"/>
    <row r="38" ht="18" customHeight="1" x14ac:dyDescent="0.45"/>
    <row r="39" ht="18" customHeight="1" x14ac:dyDescent="0.45"/>
    <row r="40" ht="18" customHeight="1" x14ac:dyDescent="0.45"/>
    <row r="41" ht="18" customHeight="1" x14ac:dyDescent="0.45"/>
    <row r="42" ht="18" customHeight="1" x14ac:dyDescent="0.45"/>
    <row r="43" ht="18" customHeight="1" x14ac:dyDescent="0.45"/>
    <row r="44" ht="18" customHeight="1" x14ac:dyDescent="0.45"/>
    <row r="45" ht="18" customHeight="1" x14ac:dyDescent="0.45"/>
    <row r="46" ht="18" customHeight="1" x14ac:dyDescent="0.45"/>
    <row r="47" ht="18" customHeight="1" x14ac:dyDescent="0.45"/>
    <row r="48" ht="18" customHeight="1" x14ac:dyDescent="0.45"/>
    <row r="49" ht="18" customHeight="1" x14ac:dyDescent="0.45"/>
    <row r="50" ht="18" customHeight="1" x14ac:dyDescent="0.45"/>
    <row r="51" ht="18" customHeight="1" x14ac:dyDescent="0.45"/>
    <row r="52" ht="18" customHeight="1" x14ac:dyDescent="0.45"/>
    <row r="53" ht="18" customHeight="1" x14ac:dyDescent="0.45"/>
    <row r="54" ht="18" customHeight="1" x14ac:dyDescent="0.45"/>
    <row r="55" ht="18" customHeight="1" x14ac:dyDescent="0.45"/>
    <row r="56" ht="18" customHeight="1" x14ac:dyDescent="0.45"/>
    <row r="57" ht="18" customHeight="1" x14ac:dyDescent="0.45"/>
    <row r="58" ht="18" customHeight="1" x14ac:dyDescent="0.45"/>
    <row r="59" ht="18" customHeight="1" x14ac:dyDescent="0.45"/>
    <row r="60" ht="18" customHeight="1" x14ac:dyDescent="0.45"/>
    <row r="61" ht="18" customHeight="1" x14ac:dyDescent="0.45"/>
    <row r="62" ht="18" customHeight="1" x14ac:dyDescent="0.45"/>
    <row r="63" ht="18" customHeight="1" x14ac:dyDescent="0.45"/>
    <row r="64" ht="18" customHeight="1" x14ac:dyDescent="0.45"/>
    <row r="65" ht="18" customHeight="1" x14ac:dyDescent="0.45"/>
    <row r="66" ht="18" customHeight="1" x14ac:dyDescent="0.45"/>
    <row r="67" ht="18" customHeight="1" x14ac:dyDescent="0.45"/>
    <row r="68" ht="18" customHeight="1" x14ac:dyDescent="0.45"/>
    <row r="69" ht="18" customHeight="1" x14ac:dyDescent="0.45"/>
    <row r="70" ht="18" customHeight="1" x14ac:dyDescent="0.45"/>
    <row r="71" ht="18" customHeight="1" x14ac:dyDescent="0.45"/>
    <row r="72" ht="18" customHeight="1" x14ac:dyDescent="0.45"/>
    <row r="73" ht="18" customHeight="1" x14ac:dyDescent="0.45"/>
    <row r="74" ht="18" customHeight="1" x14ac:dyDescent="0.45"/>
    <row r="75" ht="18" customHeight="1" x14ac:dyDescent="0.45"/>
    <row r="76" ht="18" customHeight="1" x14ac:dyDescent="0.45"/>
    <row r="77" ht="18" customHeight="1" x14ac:dyDescent="0.45"/>
    <row r="78" ht="18" customHeight="1" x14ac:dyDescent="0.45"/>
    <row r="79" ht="18" customHeight="1" x14ac:dyDescent="0.45"/>
    <row r="80" ht="18" customHeight="1" x14ac:dyDescent="0.45"/>
    <row r="81" ht="18" customHeight="1" x14ac:dyDescent="0.45"/>
    <row r="82" ht="18" customHeight="1" x14ac:dyDescent="0.45"/>
    <row r="83" ht="18" customHeight="1" x14ac:dyDescent="0.45"/>
    <row r="84" ht="18" customHeight="1" x14ac:dyDescent="0.45"/>
    <row r="85" ht="18" customHeight="1" x14ac:dyDescent="0.45"/>
    <row r="86" ht="18" customHeight="1" x14ac:dyDescent="0.45"/>
    <row r="87" ht="18" customHeight="1" x14ac:dyDescent="0.45"/>
    <row r="88" ht="18" customHeight="1" x14ac:dyDescent="0.45"/>
    <row r="89" ht="18" customHeight="1" x14ac:dyDescent="0.45"/>
  </sheetData>
  <mergeCells count="27">
    <mergeCell ref="U8:X8"/>
    <mergeCell ref="A10:X10"/>
    <mergeCell ref="A8:D8"/>
    <mergeCell ref="E8:H8"/>
    <mergeCell ref="I8:L8"/>
    <mergeCell ref="M8:P8"/>
    <mergeCell ref="Q8:T8"/>
    <mergeCell ref="U5:X6"/>
    <mergeCell ref="A7:D7"/>
    <mergeCell ref="E7:H7"/>
    <mergeCell ref="I7:L7"/>
    <mergeCell ref="M7:P7"/>
    <mergeCell ref="Q7:T7"/>
    <mergeCell ref="U7:X7"/>
    <mergeCell ref="A5:D6"/>
    <mergeCell ref="E5:H6"/>
    <mergeCell ref="I5:L6"/>
    <mergeCell ref="M5:P6"/>
    <mergeCell ref="Q5:T6"/>
    <mergeCell ref="A1:X1"/>
    <mergeCell ref="A2:X2"/>
    <mergeCell ref="A4:D4"/>
    <mergeCell ref="E4:H4"/>
    <mergeCell ref="I4:L4"/>
    <mergeCell ref="M4:P4"/>
    <mergeCell ref="Q4:T4"/>
    <mergeCell ref="U4:X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Tables</vt:lpstr>
      <vt:lpstr>🏥 Patient Data</vt:lpstr>
      <vt:lpstr>📊 Summary Metrics</vt:lpstr>
      <vt:lpstr>📈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Srimant Bhardwaj</cp:lastModifiedBy>
  <cp:revision>3</cp:revision>
  <dcterms:created xsi:type="dcterms:W3CDTF">2026-05-04T04:43:27Z</dcterms:created>
  <dcterms:modified xsi:type="dcterms:W3CDTF">2026-05-05T08:06:16Z</dcterms:modified>
  <dc:language>en-US</dc:language>
</cp:coreProperties>
</file>