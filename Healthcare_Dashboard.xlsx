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🏥 Patient Data" sheetId="1" state="visible" r:id="rId3"/>
    <sheet name="📊 Summary Metrics" sheetId="2" state="visible" r:id="rId4"/>
    <sheet name="📈 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<sst xmlns="http://schemas.openxmlformats.org/spreadsheetml/2006/main" count="1933" uniqueCount="529">
  <si>
    <t xml:space="preserve">HEALTHCARE PATIENT DATABASE — 200 Records | Jan–Dec 2024</t>
  </si>
  <si>
    <t xml:space="preserve">Patient ID</t>
  </si>
  <si>
    <t xml:space="preserve">Visit Date</t>
  </si>
  <si>
    <t xml:space="preserve">Discharge Date</t>
  </si>
  <si>
    <t xml:space="preserve">Age</t>
  </si>
  <si>
    <t xml:space="preserve">Gender</t>
  </si>
  <si>
    <t xml:space="preserve">Ward</t>
  </si>
  <si>
    <t xml:space="preserve">Doctor</t>
  </si>
  <si>
    <t xml:space="preserve">Diagnosis</t>
  </si>
  <si>
    <t xml:space="preserve">Treatment</t>
  </si>
  <si>
    <t xml:space="preserve">Outcome</t>
  </si>
  <si>
    <t xml:space="preserve">LOS (Days)</t>
  </si>
  <si>
    <t xml:space="preserve">Bill (₹)</t>
  </si>
  <si>
    <t xml:space="preserve">Satisfaction</t>
  </si>
  <si>
    <t xml:space="preserve">PT0001</t>
  </si>
  <si>
    <t xml:space="preserve">20-May-2024</t>
  </si>
  <si>
    <t xml:space="preserve">01-Jun-2024</t>
  </si>
  <si>
    <t xml:space="preserve">Male</t>
  </si>
  <si>
    <t xml:space="preserve">Neurology</t>
  </si>
  <si>
    <t xml:space="preserve">Dr. Singh</t>
  </si>
  <si>
    <t xml:space="preserve">Diabetes Type 2</t>
  </si>
  <si>
    <t xml:space="preserve">Metformin</t>
  </si>
  <si>
    <t xml:space="preserve">Recovered</t>
  </si>
  <si>
    <t xml:space="preserve">PT0002</t>
  </si>
  <si>
    <t xml:space="preserve">21-Apr-2024</t>
  </si>
  <si>
    <t xml:space="preserve">23-Apr-2024</t>
  </si>
  <si>
    <t xml:space="preserve">Hypertension</t>
  </si>
  <si>
    <t xml:space="preserve">ACE Inhibitors</t>
  </si>
  <si>
    <t xml:space="preserve">PT0003</t>
  </si>
  <si>
    <t xml:space="preserve">22-May-2024</t>
  </si>
  <si>
    <t xml:space="preserve">Female</t>
  </si>
  <si>
    <t xml:space="preserve">Pediatrics</t>
  </si>
  <si>
    <t xml:space="preserve">Dr. Gupta</t>
  </si>
  <si>
    <t xml:space="preserve">Pneumonia</t>
  </si>
  <si>
    <t xml:space="preserve">Antibiotics</t>
  </si>
  <si>
    <t xml:space="preserve">Improving</t>
  </si>
  <si>
    <t xml:space="preserve">PT0004</t>
  </si>
  <si>
    <t xml:space="preserve">21-Jun-2024</t>
  </si>
  <si>
    <t xml:space="preserve">04-Jul-2024</t>
  </si>
  <si>
    <t xml:space="preserve">Dr. Verma</t>
  </si>
  <si>
    <t xml:space="preserve">Asthma</t>
  </si>
  <si>
    <t xml:space="preserve">Bronchodilator</t>
  </si>
  <si>
    <t xml:space="preserve">PT0005</t>
  </si>
  <si>
    <t xml:space="preserve">23-Aug-2024</t>
  </si>
  <si>
    <t xml:space="preserve">24-Aug-2024</t>
  </si>
  <si>
    <t xml:space="preserve">Arthritis</t>
  </si>
  <si>
    <t xml:space="preserve">NSAIDs</t>
  </si>
  <si>
    <t xml:space="preserve">Worsening</t>
  </si>
  <si>
    <t xml:space="preserve">PT0006</t>
  </si>
  <si>
    <t xml:space="preserve">18-Jul-2024</t>
  </si>
  <si>
    <t xml:space="preserve">ICU</t>
  </si>
  <si>
    <t xml:space="preserve">Depression</t>
  </si>
  <si>
    <t xml:space="preserve">SSRIs</t>
  </si>
  <si>
    <t xml:space="preserve">PT0007</t>
  </si>
  <si>
    <t xml:space="preserve">21-Feb-2024</t>
  </si>
  <si>
    <t xml:space="preserve">25-Feb-2024</t>
  </si>
  <si>
    <t xml:space="preserve">Stable</t>
  </si>
  <si>
    <t xml:space="preserve">PT0008</t>
  </si>
  <si>
    <t xml:space="preserve">25-Dec-2024</t>
  </si>
  <si>
    <t xml:space="preserve">30-Dec-2024</t>
  </si>
  <si>
    <t xml:space="preserve">Dr. Patel</t>
  </si>
  <si>
    <t xml:space="preserve">PT0009</t>
  </si>
  <si>
    <t xml:space="preserve">18-May-2024</t>
  </si>
  <si>
    <t xml:space="preserve">25-May-2024</t>
  </si>
  <si>
    <t xml:space="preserve">Dr. Sharma</t>
  </si>
  <si>
    <t xml:space="preserve">Discharged</t>
  </si>
  <si>
    <t xml:space="preserve">PT0010</t>
  </si>
  <si>
    <t xml:space="preserve">10-Jun-2024</t>
  </si>
  <si>
    <t xml:space="preserve">11-Jun-2024</t>
  </si>
  <si>
    <t xml:space="preserve">PT0011</t>
  </si>
  <si>
    <t xml:space="preserve">22-Aug-2024</t>
  </si>
  <si>
    <t xml:space="preserve">02-Sep-2024</t>
  </si>
  <si>
    <t xml:space="preserve">Heart Disease</t>
  </si>
  <si>
    <t xml:space="preserve">Beta Blockers</t>
  </si>
  <si>
    <t xml:space="preserve">PT0012</t>
  </si>
  <si>
    <t xml:space="preserve">22-Apr-2024</t>
  </si>
  <si>
    <t xml:space="preserve">28-Apr-2024</t>
  </si>
  <si>
    <t xml:space="preserve">General</t>
  </si>
  <si>
    <t xml:space="preserve">PT0013</t>
  </si>
  <si>
    <t xml:space="preserve">22-Mar-2024</t>
  </si>
  <si>
    <t xml:space="preserve">02-Apr-2024</t>
  </si>
  <si>
    <t xml:space="preserve">Cardiology</t>
  </si>
  <si>
    <t xml:space="preserve">PT0014</t>
  </si>
  <si>
    <t xml:space="preserve">08-May-2024</t>
  </si>
  <si>
    <t xml:space="preserve">17-May-2024</t>
  </si>
  <si>
    <t xml:space="preserve">PT0015</t>
  </si>
  <si>
    <t xml:space="preserve">10-Aug-2024</t>
  </si>
  <si>
    <t xml:space="preserve">15-Aug-2024</t>
  </si>
  <si>
    <t xml:space="preserve">Migraine</t>
  </si>
  <si>
    <t xml:space="preserve">Triptans</t>
  </si>
  <si>
    <t xml:space="preserve">PT0016</t>
  </si>
  <si>
    <t xml:space="preserve">16-Sep-2024</t>
  </si>
  <si>
    <t xml:space="preserve">27-Sep-2024</t>
  </si>
  <si>
    <t xml:space="preserve">PT0017</t>
  </si>
  <si>
    <t xml:space="preserve">07-Sep-2024</t>
  </si>
  <si>
    <t xml:space="preserve">13-Sep-2024</t>
  </si>
  <si>
    <t xml:space="preserve">PT0018</t>
  </si>
  <si>
    <t xml:space="preserve">10-Feb-2024</t>
  </si>
  <si>
    <t xml:space="preserve">20-Feb-2024</t>
  </si>
  <si>
    <t xml:space="preserve">PT0019</t>
  </si>
  <si>
    <t xml:space="preserve">02-Oct-2024</t>
  </si>
  <si>
    <t xml:space="preserve">Thyroid Disorder</t>
  </si>
  <si>
    <t xml:space="preserve">Levothyroxine</t>
  </si>
  <si>
    <t xml:space="preserve">PT0020</t>
  </si>
  <si>
    <t xml:space="preserve">19-Aug-2024</t>
  </si>
  <si>
    <t xml:space="preserve">28-Aug-2024</t>
  </si>
  <si>
    <t xml:space="preserve">PT0021</t>
  </si>
  <si>
    <t xml:space="preserve">02-May-2024</t>
  </si>
  <si>
    <t xml:space="preserve">PT0022</t>
  </si>
  <si>
    <t xml:space="preserve">01-May-2024</t>
  </si>
  <si>
    <t xml:space="preserve">10-May-2024</t>
  </si>
  <si>
    <t xml:space="preserve">PT0023</t>
  </si>
  <si>
    <t xml:space="preserve">30-Aug-2024</t>
  </si>
  <si>
    <t xml:space="preserve">12-Sep-2024</t>
  </si>
  <si>
    <t xml:space="preserve">Anemia</t>
  </si>
  <si>
    <t xml:space="preserve">Iron Supplement</t>
  </si>
  <si>
    <t xml:space="preserve">PT0024</t>
  </si>
  <si>
    <t xml:space="preserve">28-Jan-2024</t>
  </si>
  <si>
    <t xml:space="preserve">05-Feb-2024</t>
  </si>
  <si>
    <t xml:space="preserve">PT0025</t>
  </si>
  <si>
    <t xml:space="preserve">07-Apr-2024</t>
  </si>
  <si>
    <t xml:space="preserve">11-Apr-2024</t>
  </si>
  <si>
    <t xml:space="preserve">PT0026</t>
  </si>
  <si>
    <t xml:space="preserve">14-Aug-2024</t>
  </si>
  <si>
    <t xml:space="preserve">16-Aug-2024</t>
  </si>
  <si>
    <t xml:space="preserve">PT0027</t>
  </si>
  <si>
    <t xml:space="preserve">03-May-2024</t>
  </si>
  <si>
    <t xml:space="preserve">PT0028</t>
  </si>
  <si>
    <t xml:space="preserve">19-Jul-2024</t>
  </si>
  <si>
    <t xml:space="preserve">PT0029</t>
  </si>
  <si>
    <t xml:space="preserve">31-May-2024</t>
  </si>
  <si>
    <t xml:space="preserve">04-Jun-2024</t>
  </si>
  <si>
    <t xml:space="preserve">PT0030</t>
  </si>
  <si>
    <t xml:space="preserve">14-Sep-2024</t>
  </si>
  <si>
    <t xml:space="preserve">22-Sep-2024</t>
  </si>
  <si>
    <t xml:space="preserve">PT0031</t>
  </si>
  <si>
    <t xml:space="preserve">04-Feb-2024</t>
  </si>
  <si>
    <t xml:space="preserve">14-Feb-2024</t>
  </si>
  <si>
    <t xml:space="preserve">PT0032</t>
  </si>
  <si>
    <t xml:space="preserve">13-Nov-2024</t>
  </si>
  <si>
    <t xml:space="preserve">14-Nov-2024</t>
  </si>
  <si>
    <t xml:space="preserve">PT0033</t>
  </si>
  <si>
    <t xml:space="preserve">21-Jul-2024</t>
  </si>
  <si>
    <t xml:space="preserve">26-Jul-2024</t>
  </si>
  <si>
    <t xml:space="preserve">PT0034</t>
  </si>
  <si>
    <t xml:space="preserve">15-Oct-2024</t>
  </si>
  <si>
    <t xml:space="preserve">25-Oct-2024</t>
  </si>
  <si>
    <t xml:space="preserve">PT0035</t>
  </si>
  <si>
    <t xml:space="preserve">11-Feb-2024</t>
  </si>
  <si>
    <t xml:space="preserve">PT0036</t>
  </si>
  <si>
    <t xml:space="preserve">30-Nov-2024</t>
  </si>
  <si>
    <t xml:space="preserve">13-Dec-2024</t>
  </si>
  <si>
    <t xml:space="preserve">PT0037</t>
  </si>
  <si>
    <t xml:space="preserve">10-Oct-2024</t>
  </si>
  <si>
    <t xml:space="preserve">12-Oct-2024</t>
  </si>
  <si>
    <t xml:space="preserve">PT0038</t>
  </si>
  <si>
    <t xml:space="preserve">16-May-2024</t>
  </si>
  <si>
    <t xml:space="preserve">PT0039</t>
  </si>
  <si>
    <t xml:space="preserve">07-Mar-2024</t>
  </si>
  <si>
    <t xml:space="preserve">13-Mar-2024</t>
  </si>
  <si>
    <t xml:space="preserve">PT0040</t>
  </si>
  <si>
    <t xml:space="preserve">08-Feb-2024</t>
  </si>
  <si>
    <t xml:space="preserve">PT0041</t>
  </si>
  <si>
    <t xml:space="preserve">06-Mar-2024</t>
  </si>
  <si>
    <t xml:space="preserve">PT0042</t>
  </si>
  <si>
    <t xml:space="preserve">13-Oct-2024</t>
  </si>
  <si>
    <t xml:space="preserve">26-Oct-2024</t>
  </si>
  <si>
    <t xml:space="preserve">PT0043</t>
  </si>
  <si>
    <t xml:space="preserve">13-Jan-2024</t>
  </si>
  <si>
    <t xml:space="preserve">20-Jan-2024</t>
  </si>
  <si>
    <t xml:space="preserve">PT0044</t>
  </si>
  <si>
    <t xml:space="preserve">08-Mar-2024</t>
  </si>
  <si>
    <t xml:space="preserve">PT0045</t>
  </si>
  <si>
    <t xml:space="preserve">26-Apr-2024</t>
  </si>
  <si>
    <t xml:space="preserve">PT0046</t>
  </si>
  <si>
    <t xml:space="preserve">PT0047</t>
  </si>
  <si>
    <t xml:space="preserve">15-May-2024</t>
  </si>
  <si>
    <t xml:space="preserve">PT0048</t>
  </si>
  <si>
    <t xml:space="preserve">29-Feb-2024</t>
  </si>
  <si>
    <t xml:space="preserve">09-Mar-2024</t>
  </si>
  <si>
    <t xml:space="preserve">PT0049</t>
  </si>
  <si>
    <t xml:space="preserve">PT0050</t>
  </si>
  <si>
    <t xml:space="preserve">05-Dec-2024</t>
  </si>
  <si>
    <t xml:space="preserve">11-Dec-2024</t>
  </si>
  <si>
    <t xml:space="preserve">PT0051</t>
  </si>
  <si>
    <t xml:space="preserve">PT0052</t>
  </si>
  <si>
    <t xml:space="preserve">01-Jan-2024</t>
  </si>
  <si>
    <t xml:space="preserve">10-Jan-2024</t>
  </si>
  <si>
    <t xml:space="preserve">PT0053</t>
  </si>
  <si>
    <t xml:space="preserve">18-Sep-2024</t>
  </si>
  <si>
    <t xml:space="preserve">PT0054</t>
  </si>
  <si>
    <t xml:space="preserve">30-Apr-2024</t>
  </si>
  <si>
    <t xml:space="preserve">PT0055</t>
  </si>
  <si>
    <t xml:space="preserve">08-Nov-2024</t>
  </si>
  <si>
    <t xml:space="preserve">16-Nov-2024</t>
  </si>
  <si>
    <t xml:space="preserve">PT0056</t>
  </si>
  <si>
    <t xml:space="preserve">04-May-2024</t>
  </si>
  <si>
    <t xml:space="preserve">11-May-2024</t>
  </si>
  <si>
    <t xml:space="preserve">PT0057</t>
  </si>
  <si>
    <t xml:space="preserve">04-Oct-2024</t>
  </si>
  <si>
    <t xml:space="preserve">PT0058</t>
  </si>
  <si>
    <t xml:space="preserve">22-Oct-2024</t>
  </si>
  <si>
    <t xml:space="preserve">PT0059</t>
  </si>
  <si>
    <t xml:space="preserve">31-Aug-2024</t>
  </si>
  <si>
    <t xml:space="preserve">PT0060</t>
  </si>
  <si>
    <t xml:space="preserve">09-Feb-2024</t>
  </si>
  <si>
    <t xml:space="preserve">17-Feb-2024</t>
  </si>
  <si>
    <t xml:space="preserve">PT0061</t>
  </si>
  <si>
    <t xml:space="preserve">PT0062</t>
  </si>
  <si>
    <t xml:space="preserve">31-Jul-2024</t>
  </si>
  <si>
    <t xml:space="preserve">08-Aug-2024</t>
  </si>
  <si>
    <t xml:space="preserve">PT0063</t>
  </si>
  <si>
    <t xml:space="preserve">04-Jan-2024</t>
  </si>
  <si>
    <t xml:space="preserve">12-Jan-2024</t>
  </si>
  <si>
    <t xml:space="preserve">PT0064</t>
  </si>
  <si>
    <t xml:space="preserve">06-Sep-2024</t>
  </si>
  <si>
    <t xml:space="preserve">10-Sep-2024</t>
  </si>
  <si>
    <t xml:space="preserve">PT0065</t>
  </si>
  <si>
    <t xml:space="preserve">27-Aug-2024</t>
  </si>
  <si>
    <t xml:space="preserve">PT0066</t>
  </si>
  <si>
    <t xml:space="preserve">12-Feb-2024</t>
  </si>
  <si>
    <t xml:space="preserve">13-Feb-2024</t>
  </si>
  <si>
    <t xml:space="preserve">PT0067</t>
  </si>
  <si>
    <t xml:space="preserve">20-Aug-2024</t>
  </si>
  <si>
    <t xml:space="preserve">PT0068</t>
  </si>
  <si>
    <t xml:space="preserve">03-Oct-2024</t>
  </si>
  <si>
    <t xml:space="preserve">PT0069</t>
  </si>
  <si>
    <t xml:space="preserve">12-Apr-2024</t>
  </si>
  <si>
    <t xml:space="preserve">16-Apr-2024</t>
  </si>
  <si>
    <t xml:space="preserve">PT0070</t>
  </si>
  <si>
    <t xml:space="preserve">26-Aug-2024</t>
  </si>
  <si>
    <t xml:space="preserve">PT0071</t>
  </si>
  <si>
    <t xml:space="preserve">24-Mar-2024</t>
  </si>
  <si>
    <t xml:space="preserve">PT0072</t>
  </si>
  <si>
    <t xml:space="preserve">PT0073</t>
  </si>
  <si>
    <t xml:space="preserve">22-Jan-2024</t>
  </si>
  <si>
    <t xml:space="preserve">01-Feb-2024</t>
  </si>
  <si>
    <t xml:space="preserve">PT0074</t>
  </si>
  <si>
    <t xml:space="preserve">PT0075</t>
  </si>
  <si>
    <t xml:space="preserve">29-Nov-2024</t>
  </si>
  <si>
    <t xml:space="preserve">08-Dec-2024</t>
  </si>
  <si>
    <t xml:space="preserve">PT0076</t>
  </si>
  <si>
    <t xml:space="preserve">05-May-2024</t>
  </si>
  <si>
    <t xml:space="preserve">PT0077</t>
  </si>
  <si>
    <t xml:space="preserve">13-Jul-2024</t>
  </si>
  <si>
    <t xml:space="preserve">24-Jul-2024</t>
  </si>
  <si>
    <t xml:space="preserve">PT0078</t>
  </si>
  <si>
    <t xml:space="preserve">23-Jun-2024</t>
  </si>
  <si>
    <t xml:space="preserve">28-Jun-2024</t>
  </si>
  <si>
    <t xml:space="preserve">PT0079</t>
  </si>
  <si>
    <t xml:space="preserve">27-Jul-2024</t>
  </si>
  <si>
    <t xml:space="preserve">PT0080</t>
  </si>
  <si>
    <t xml:space="preserve">PT0081</t>
  </si>
  <si>
    <t xml:space="preserve">08-Oct-2024</t>
  </si>
  <si>
    <t xml:space="preserve">PT0082</t>
  </si>
  <si>
    <t xml:space="preserve">08-Apr-2024</t>
  </si>
  <si>
    <t xml:space="preserve">20-Apr-2024</t>
  </si>
  <si>
    <t xml:space="preserve">PT0083</t>
  </si>
  <si>
    <t xml:space="preserve">28-Oct-2024</t>
  </si>
  <si>
    <t xml:space="preserve">09-Nov-2024</t>
  </si>
  <si>
    <t xml:space="preserve">PT0084</t>
  </si>
  <si>
    <t xml:space="preserve">01-Apr-2024</t>
  </si>
  <si>
    <t xml:space="preserve">PT0085</t>
  </si>
  <si>
    <t xml:space="preserve">23-Dec-2024</t>
  </si>
  <si>
    <t xml:space="preserve">28-Dec-2024</t>
  </si>
  <si>
    <t xml:space="preserve">PT0086</t>
  </si>
  <si>
    <t xml:space="preserve">13-Aug-2024</t>
  </si>
  <si>
    <t xml:space="preserve">21-Aug-2024</t>
  </si>
  <si>
    <t xml:space="preserve">PT0087</t>
  </si>
  <si>
    <t xml:space="preserve">07-Feb-2024</t>
  </si>
  <si>
    <t xml:space="preserve">15-Feb-2024</t>
  </si>
  <si>
    <t xml:space="preserve">PT0088</t>
  </si>
  <si>
    <t xml:space="preserve">01-Mar-2024</t>
  </si>
  <si>
    <t xml:space="preserve">05-Mar-2024</t>
  </si>
  <si>
    <t xml:space="preserve">PT0089</t>
  </si>
  <si>
    <t xml:space="preserve">09-Jun-2024</t>
  </si>
  <si>
    <t xml:space="preserve">PT0090</t>
  </si>
  <si>
    <t xml:space="preserve">19-May-2024</t>
  </si>
  <si>
    <t xml:space="preserve">PT0091</t>
  </si>
  <si>
    <t xml:space="preserve">18-Aug-2024</t>
  </si>
  <si>
    <t xml:space="preserve">25-Aug-2024</t>
  </si>
  <si>
    <t xml:space="preserve">PT0092</t>
  </si>
  <si>
    <t xml:space="preserve">03-Sep-2024</t>
  </si>
  <si>
    <t xml:space="preserve">PT0093</t>
  </si>
  <si>
    <t xml:space="preserve">17-Mar-2024</t>
  </si>
  <si>
    <t xml:space="preserve">28-Mar-2024</t>
  </si>
  <si>
    <t xml:space="preserve">PT0094</t>
  </si>
  <si>
    <t xml:space="preserve">18-Oct-2024</t>
  </si>
  <si>
    <t xml:space="preserve">30-Oct-2024</t>
  </si>
  <si>
    <t xml:space="preserve">PT0095</t>
  </si>
  <si>
    <t xml:space="preserve">09-Sep-2024</t>
  </si>
  <si>
    <t xml:space="preserve">PT0096</t>
  </si>
  <si>
    <t xml:space="preserve">27-Apr-2024</t>
  </si>
  <si>
    <t xml:space="preserve">29-Apr-2024</t>
  </si>
  <si>
    <t xml:space="preserve">PT0097</t>
  </si>
  <si>
    <t xml:space="preserve">30-Mar-2024</t>
  </si>
  <si>
    <t xml:space="preserve">PT0098</t>
  </si>
  <si>
    <t xml:space="preserve">08-Sep-2024</t>
  </si>
  <si>
    <t xml:space="preserve">PT0099</t>
  </si>
  <si>
    <t xml:space="preserve">17-Jun-2024</t>
  </si>
  <si>
    <t xml:space="preserve">20-Jun-2024</t>
  </si>
  <si>
    <t xml:space="preserve">PT0100</t>
  </si>
  <si>
    <t xml:space="preserve">09-May-2024</t>
  </si>
  <si>
    <t xml:space="preserve">PT0101</t>
  </si>
  <si>
    <t xml:space="preserve">26-Sep-2024</t>
  </si>
  <si>
    <t xml:space="preserve">PT0102</t>
  </si>
  <si>
    <t xml:space="preserve">27-May-2024</t>
  </si>
  <si>
    <t xml:space="preserve">30-May-2024</t>
  </si>
  <si>
    <t xml:space="preserve">PT0103</t>
  </si>
  <si>
    <t xml:space="preserve">08-Jun-2024</t>
  </si>
  <si>
    <t xml:space="preserve">PT0104</t>
  </si>
  <si>
    <t xml:space="preserve">27-Nov-2024</t>
  </si>
  <si>
    <t xml:space="preserve">PT0105</t>
  </si>
  <si>
    <t xml:space="preserve">09-Oct-2024</t>
  </si>
  <si>
    <t xml:space="preserve">17-Oct-2024</t>
  </si>
  <si>
    <t xml:space="preserve">PT0106</t>
  </si>
  <si>
    <t xml:space="preserve">29-Sep-2024</t>
  </si>
  <si>
    <t xml:space="preserve">PT0107</t>
  </si>
  <si>
    <t xml:space="preserve">PT0108</t>
  </si>
  <si>
    <t xml:space="preserve">14-May-2024</t>
  </si>
  <si>
    <t xml:space="preserve">PT0109</t>
  </si>
  <si>
    <t xml:space="preserve">10-Dec-2024</t>
  </si>
  <si>
    <t xml:space="preserve">PT0110</t>
  </si>
  <si>
    <t xml:space="preserve">PT0111</t>
  </si>
  <si>
    <t xml:space="preserve">23-May-2024</t>
  </si>
  <si>
    <t xml:space="preserve">PT0112</t>
  </si>
  <si>
    <t xml:space="preserve">22-Nov-2024</t>
  </si>
  <si>
    <t xml:space="preserve">PT0113</t>
  </si>
  <si>
    <t xml:space="preserve">07-Jun-2024</t>
  </si>
  <si>
    <t xml:space="preserve">PT0114</t>
  </si>
  <si>
    <t xml:space="preserve">02-Jun-2024</t>
  </si>
  <si>
    <t xml:space="preserve">14-Jun-2024</t>
  </si>
  <si>
    <t xml:space="preserve">PT0115</t>
  </si>
  <si>
    <t xml:space="preserve">PT0116</t>
  </si>
  <si>
    <t xml:space="preserve">20-Nov-2024</t>
  </si>
  <si>
    <t xml:space="preserve">PT0117</t>
  </si>
  <si>
    <t xml:space="preserve">07-Dec-2024</t>
  </si>
  <si>
    <t xml:space="preserve">12-Dec-2024</t>
  </si>
  <si>
    <t xml:space="preserve">PT0118</t>
  </si>
  <si>
    <t xml:space="preserve">27-Oct-2024</t>
  </si>
  <si>
    <t xml:space="preserve">02-Nov-2024</t>
  </si>
  <si>
    <t xml:space="preserve">PT0119</t>
  </si>
  <si>
    <t xml:space="preserve">04-Sep-2024</t>
  </si>
  <si>
    <t xml:space="preserve">PT0120</t>
  </si>
  <si>
    <t xml:space="preserve">03-Dec-2024</t>
  </si>
  <si>
    <t xml:space="preserve">17-Dec-2024</t>
  </si>
  <si>
    <t xml:space="preserve">PT0121</t>
  </si>
  <si>
    <t xml:space="preserve">PT0122</t>
  </si>
  <si>
    <t xml:space="preserve">17-Nov-2024</t>
  </si>
  <si>
    <t xml:space="preserve">19-Nov-2024</t>
  </si>
  <si>
    <t xml:space="preserve">PT0123</t>
  </si>
  <si>
    <t xml:space="preserve">16-Jun-2024</t>
  </si>
  <si>
    <t xml:space="preserve">PT0124</t>
  </si>
  <si>
    <t xml:space="preserve">25-Mar-2024</t>
  </si>
  <si>
    <t xml:space="preserve">PT0125</t>
  </si>
  <si>
    <t xml:space="preserve">15-Mar-2024</t>
  </si>
  <si>
    <t xml:space="preserve">PT0126</t>
  </si>
  <si>
    <t xml:space="preserve">04-Mar-2024</t>
  </si>
  <si>
    <t xml:space="preserve">PT0127</t>
  </si>
  <si>
    <t xml:space="preserve">PT0128</t>
  </si>
  <si>
    <t xml:space="preserve">PT0129</t>
  </si>
  <si>
    <t xml:space="preserve">10-Mar-2024</t>
  </si>
  <si>
    <t xml:space="preserve">19-Mar-2024</t>
  </si>
  <si>
    <t xml:space="preserve">PT0130</t>
  </si>
  <si>
    <t xml:space="preserve">PT0131</t>
  </si>
  <si>
    <t xml:space="preserve">08-Jul-2024</t>
  </si>
  <si>
    <t xml:space="preserve">PT0132</t>
  </si>
  <si>
    <t xml:space="preserve">PT0133</t>
  </si>
  <si>
    <t xml:space="preserve">16-Oct-2024</t>
  </si>
  <si>
    <t xml:space="preserve">29-Oct-2024</t>
  </si>
  <si>
    <t xml:space="preserve">PT0134</t>
  </si>
  <si>
    <t xml:space="preserve">16-Mar-2024</t>
  </si>
  <si>
    <t xml:space="preserve">29-Mar-2024</t>
  </si>
  <si>
    <t xml:space="preserve">PT0135</t>
  </si>
  <si>
    <t xml:space="preserve">PT0136</t>
  </si>
  <si>
    <t xml:space="preserve">09-Jan-2024</t>
  </si>
  <si>
    <t xml:space="preserve">15-Jan-2024</t>
  </si>
  <si>
    <t xml:space="preserve">PT0137</t>
  </si>
  <si>
    <t xml:space="preserve">12-Jul-2024</t>
  </si>
  <si>
    <t xml:space="preserve">PT0138</t>
  </si>
  <si>
    <t xml:space="preserve">25-Nov-2024</t>
  </si>
  <si>
    <t xml:space="preserve">PT0139</t>
  </si>
  <si>
    <t xml:space="preserve">PT0140</t>
  </si>
  <si>
    <t xml:space="preserve">06-Nov-2024</t>
  </si>
  <si>
    <t xml:space="preserve">PT0141</t>
  </si>
  <si>
    <t xml:space="preserve">27-Dec-2024</t>
  </si>
  <si>
    <t xml:space="preserve">PT0142</t>
  </si>
  <si>
    <t xml:space="preserve">PT0143</t>
  </si>
  <si>
    <t xml:space="preserve">20-Dec-2024</t>
  </si>
  <si>
    <t xml:space="preserve">PT0144</t>
  </si>
  <si>
    <t xml:space="preserve">09-Jul-2024</t>
  </si>
  <si>
    <t xml:space="preserve">PT0145</t>
  </si>
  <si>
    <t xml:space="preserve">04-Aug-2024</t>
  </si>
  <si>
    <t xml:space="preserve">PT0146</t>
  </si>
  <si>
    <t xml:space="preserve">PT0147</t>
  </si>
  <si>
    <t xml:space="preserve">24-May-2024</t>
  </si>
  <si>
    <t xml:space="preserve">PT0148</t>
  </si>
  <si>
    <t xml:space="preserve">PT0149</t>
  </si>
  <si>
    <t xml:space="preserve">PT0150</t>
  </si>
  <si>
    <t xml:space="preserve">01-Jul-2024</t>
  </si>
  <si>
    <t xml:space="preserve">PT0151</t>
  </si>
  <si>
    <t xml:space="preserve">26-Jan-2024</t>
  </si>
  <si>
    <t xml:space="preserve">PT0152</t>
  </si>
  <si>
    <t xml:space="preserve">25-Apr-2024</t>
  </si>
  <si>
    <t xml:space="preserve">PT0153</t>
  </si>
  <si>
    <t xml:space="preserve">16-Dec-2024</t>
  </si>
  <si>
    <t xml:space="preserve">PT0154</t>
  </si>
  <si>
    <t xml:space="preserve">11-Mar-2024</t>
  </si>
  <si>
    <t xml:space="preserve">PT0155</t>
  </si>
  <si>
    <t xml:space="preserve">16-Jul-2024</t>
  </si>
  <si>
    <t xml:space="preserve">PT0156</t>
  </si>
  <si>
    <t xml:space="preserve">PT0157</t>
  </si>
  <si>
    <t xml:space="preserve">28-Jul-2024</t>
  </si>
  <si>
    <t xml:space="preserve">PT0158</t>
  </si>
  <si>
    <t xml:space="preserve">06-May-2024</t>
  </si>
  <si>
    <t xml:space="preserve">PT0159</t>
  </si>
  <si>
    <t xml:space="preserve">27-Mar-2024</t>
  </si>
  <si>
    <t xml:space="preserve">PT0160</t>
  </si>
  <si>
    <t xml:space="preserve">PT0161</t>
  </si>
  <si>
    <t xml:space="preserve">PT0162</t>
  </si>
  <si>
    <t xml:space="preserve">PT0163</t>
  </si>
  <si>
    <t xml:space="preserve">PT0164</t>
  </si>
  <si>
    <t xml:space="preserve">PT0165</t>
  </si>
  <si>
    <t xml:space="preserve">21-Sep-2024</t>
  </si>
  <si>
    <t xml:space="preserve">PT0166</t>
  </si>
  <si>
    <t xml:space="preserve">21-Jan-2024</t>
  </si>
  <si>
    <t xml:space="preserve">24-Jan-2024</t>
  </si>
  <si>
    <t xml:space="preserve">PT0167</t>
  </si>
  <si>
    <t xml:space="preserve">22-Jun-2024</t>
  </si>
  <si>
    <t xml:space="preserve">29-Jun-2024</t>
  </si>
  <si>
    <t xml:space="preserve">PT0168</t>
  </si>
  <si>
    <t xml:space="preserve">PT0169</t>
  </si>
  <si>
    <t xml:space="preserve">PT0170</t>
  </si>
  <si>
    <t xml:space="preserve">02-Dec-2024</t>
  </si>
  <si>
    <t xml:space="preserve">PT0171</t>
  </si>
  <si>
    <t xml:space="preserve">13-Jun-2024</t>
  </si>
  <si>
    <t xml:space="preserve">PT0172</t>
  </si>
  <si>
    <t xml:space="preserve">PT0173</t>
  </si>
  <si>
    <t xml:space="preserve">26-Mar-2024</t>
  </si>
  <si>
    <t xml:space="preserve">PT0174</t>
  </si>
  <si>
    <t xml:space="preserve">12-May-2024</t>
  </si>
  <si>
    <t xml:space="preserve">PT0175</t>
  </si>
  <si>
    <t xml:space="preserve">PT0176</t>
  </si>
  <si>
    <t xml:space="preserve">02-Aug-2024</t>
  </si>
  <si>
    <t xml:space="preserve">11-Aug-2024</t>
  </si>
  <si>
    <t xml:space="preserve">PT0177</t>
  </si>
  <si>
    <t xml:space="preserve">PT0178</t>
  </si>
  <si>
    <t xml:space="preserve">19-Sep-2024</t>
  </si>
  <si>
    <t xml:space="preserve">PT0179</t>
  </si>
  <si>
    <t xml:space="preserve">22-Jul-2024</t>
  </si>
  <si>
    <t xml:space="preserve">PT0180</t>
  </si>
  <si>
    <t xml:space="preserve">28-Nov-2024</t>
  </si>
  <si>
    <t xml:space="preserve">PT0181</t>
  </si>
  <si>
    <t xml:space="preserve">PT0182</t>
  </si>
  <si>
    <t xml:space="preserve">07-Nov-2024</t>
  </si>
  <si>
    <t xml:space="preserve">PT0183</t>
  </si>
  <si>
    <t xml:space="preserve">23-Nov-2024</t>
  </si>
  <si>
    <t xml:space="preserve">PT0184</t>
  </si>
  <si>
    <t xml:space="preserve">20-Sep-2024</t>
  </si>
  <si>
    <t xml:space="preserve">01-Oct-2024</t>
  </si>
  <si>
    <t xml:space="preserve">PT0185</t>
  </si>
  <si>
    <t xml:space="preserve">19-Oct-2024</t>
  </si>
  <si>
    <t xml:space="preserve">23-Oct-2024</t>
  </si>
  <si>
    <t xml:space="preserve">PT0186</t>
  </si>
  <si>
    <t xml:space="preserve">PT0187</t>
  </si>
  <si>
    <t xml:space="preserve">02-Jul-2024</t>
  </si>
  <si>
    <t xml:space="preserve">PT0188</t>
  </si>
  <si>
    <t xml:space="preserve">06-Oct-2024</t>
  </si>
  <si>
    <t xml:space="preserve">PT0189</t>
  </si>
  <si>
    <t xml:space="preserve">PT0190</t>
  </si>
  <si>
    <t xml:space="preserve">05-Oct-2024</t>
  </si>
  <si>
    <t xml:space="preserve">PT0191</t>
  </si>
  <si>
    <t xml:space="preserve">07-Jul-2024</t>
  </si>
  <si>
    <t xml:space="preserve">PT0192</t>
  </si>
  <si>
    <t xml:space="preserve">15-Jul-2024</t>
  </si>
  <si>
    <t xml:space="preserve">PT0193</t>
  </si>
  <si>
    <t xml:space="preserve">PT0194</t>
  </si>
  <si>
    <t xml:space="preserve">06-Aug-2024</t>
  </si>
  <si>
    <t xml:space="preserve">PT0195</t>
  </si>
  <si>
    <t xml:space="preserve">PT0196</t>
  </si>
  <si>
    <t xml:space="preserve">PT0197</t>
  </si>
  <si>
    <t xml:space="preserve">26-Nov-2024</t>
  </si>
  <si>
    <t xml:space="preserve">09-Dec-2024</t>
  </si>
  <si>
    <t xml:space="preserve">PT0198</t>
  </si>
  <si>
    <t xml:space="preserve">PT0199</t>
  </si>
  <si>
    <t xml:space="preserve">PT0200</t>
  </si>
  <si>
    <t xml:space="preserve">SUMMARY METRICS — AVERAGEIFS · COUNTIFS · Statistical Analysis</t>
  </si>
  <si>
    <t xml:space="preserve">DIAGNOSIS ANALYSIS</t>
  </si>
  <si>
    <t xml:space="preserve">Total Patients</t>
  </si>
  <si>
    <t xml:space="preserve">% Share</t>
  </si>
  <si>
    <t xml:space="preserve">Avg LOS (Days)</t>
  </si>
  <si>
    <t xml:space="preserve">Avg Bill (₹)</t>
  </si>
  <si>
    <t xml:space="preserve">Avg Satisfaction</t>
  </si>
  <si>
    <t xml:space="preserve">Recovered Count</t>
  </si>
  <si>
    <t xml:space="preserve">Recovery Rate</t>
  </si>
  <si>
    <t xml:space="preserve">TOTAL / AVERAGE</t>
  </si>
  <si>
    <t xml:space="preserve">DOCTOR PERFORMANCE METRICS</t>
  </si>
  <si>
    <t xml:space="preserve">Patients Handled</t>
  </si>
  <si>
    <t xml:space="preserve">Avg LOS</t>
  </si>
  <si>
    <t xml:space="preserve">Avg Bill</t>
  </si>
  <si>
    <t xml:space="preserve">Recovered %</t>
  </si>
  <si>
    <t xml:space="preserve">WARD OCCUPANCY &amp; METRICS</t>
  </si>
  <si>
    <t xml:space="preserve">Total Admissions</t>
  </si>
  <si>
    <t xml:space="preserve">OUTCOME SUMMARY</t>
  </si>
  <si>
    <t xml:space="preserve">Count</t>
  </si>
  <si>
    <t xml:space="preserve">% of Total</t>
  </si>
  <si>
    <t xml:space="preserve">OUTCOME COLOUR LEGEND</t>
  </si>
  <si>
    <t xml:space="preserve">🏥  HEALTHCARE ANALYTICS DASHBOARD  |  Clinical Monitoring System  |  2024</t>
  </si>
  <si>
    <t xml:space="preserve">LOS Range</t>
  </si>
  <si>
    <t xml:space="preserve">Patients</t>
  </si>
  <si>
    <t xml:space="preserve">200 Patients  ·  10 Diagnoses  ·  5 Wards  ·  5 Doctors  |  Formulas: COUNTIF · COUNTIFS · AVERAGEIF · AVERAGEIFS · IFERROR</t>
  </si>
  <si>
    <t xml:space="preserve">1-2 days</t>
  </si>
  <si>
    <t xml:space="preserve">3-4 days</t>
  </si>
  <si>
    <t xml:space="preserve">👤 TOTAL PATIENTS</t>
  </si>
  <si>
    <t xml:space="preserve">📅 AVG LOS (DAYS)</t>
  </si>
  <si>
    <t xml:space="preserve">💰 AVG BILL (₹)</t>
  </si>
  <si>
    <t xml:space="preserve">⭐ AVG SATISFACTION</t>
  </si>
  <si>
    <t xml:space="preserve">✅ RECOVERY RATE</t>
  </si>
  <si>
    <t xml:space="preserve">🏥 ICU PATIENTS</t>
  </si>
  <si>
    <t xml:space="preserve">5-6 days</t>
  </si>
  <si>
    <t xml:space="preserve">7-9 days</t>
  </si>
  <si>
    <t xml:space="preserve">10+ days</t>
  </si>
  <si>
    <t xml:space="preserve">All records 2024</t>
  </si>
  <si>
    <t xml:space="preserve">Avg hospital stay</t>
  </si>
  <si>
    <t xml:space="preserve">Cost per patient</t>
  </si>
  <si>
    <t xml:space="preserve">Score out of 100</t>
  </si>
  <si>
    <t xml:space="preserve">Recovered/Total</t>
  </si>
  <si>
    <t xml:space="preserve">Critical care</t>
  </si>
  <si>
    <t xml:space="preserve">  📊  ANALYTICS CHARTS  —  6 Visualisations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</si>
</sst>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.00"/>
    <numFmt numFmtId="166" formatCode="0"/>
    <numFmt numFmtId="167" formatCode="0.0%"/>
    <numFmt numFmtId="168" formatCode="0.0"/>
    <numFmt numFmtId="169" formatCode="\₹#,##0"/>
    <numFmt numFmtId="170" formatCode="\₹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7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86C1"/>
        <bgColor rgb="FF4F81BD"/>
      </patternFill>
    </fill>
    <fill>
      <patternFill patternType="solid">
        <fgColor rgb="FFFFFFFF"/>
        <bgColor rgb="FFF2F3F4"/>
      </patternFill>
    </fill>
    <fill>
      <patternFill patternType="solid">
        <fgColor rgb="FFD5F5E3"/>
        <bgColor rgb="FFD4EFDF"/>
      </patternFill>
    </fill>
    <fill>
      <patternFill patternType="solid">
        <fgColor rgb="FFF2F3F4"/>
        <bgColor rgb="FFEBF5FB"/>
      </patternFill>
    </fill>
    <fill>
      <patternFill patternType="solid">
        <fgColor rgb="FFD4EFDF"/>
        <bgColor rgb="FFD5F5E3"/>
      </patternFill>
    </fill>
    <fill>
      <patternFill patternType="solid">
        <fgColor rgb="FFFADBD8"/>
        <bgColor rgb="FFD9D9D9"/>
      </patternFill>
    </fill>
    <fill>
      <patternFill patternType="solid">
        <fgColor rgb="FFD6EAF8"/>
        <bgColor rgb="FFD4EFDF"/>
      </patternFill>
    </fill>
    <fill>
      <patternFill patternType="solid">
        <fgColor rgb="FFEBF5FB"/>
        <bgColor rgb="FFF2F3F4"/>
      </patternFill>
    </fill>
    <fill>
      <patternFill patternType="solid">
        <fgColor rgb="FF17A589"/>
        <bgColor rgb="FF008080"/>
      </patternFill>
    </fill>
    <fill>
      <patternFill patternType="solid">
        <fgColor rgb="FF6C3483"/>
        <bgColor rgb="FF333399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  <fill>
      <patternFill patternType="solid">
        <fgColor rgb="FF5D6D7E"/>
        <bgColor rgb="FF8064A2"/>
      </patternFill>
    </fill>
    <fill>
      <patternFill patternType="solid">
        <fgColor rgb="FFC0392B"/>
        <bgColor rgb="FFC0504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86C1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4EFD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ADB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3B3B3"/>
      <rgbColor rgb="FF8064A2"/>
      <rgbColor rgb="FF9999FF"/>
      <rgbColor rgb="FF6C3483"/>
      <rgbColor rgb="FFF2F3F4"/>
      <rgbColor rgb="FFD4EFD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EBF5FB"/>
      <rgbColor rgb="FF99CCFF"/>
      <rgbColor rgb="FFFF99CC"/>
      <rgbColor rgb="FFCC99FF"/>
      <rgbColor rgb="FFFADBD8"/>
      <rgbColor rgb="FF2E86C1"/>
      <rgbColor rgb="FF4BACC6"/>
      <rgbColor rgb="FF9BBB59"/>
      <rgbColor rgb="FFFFCC00"/>
      <rgbColor rgb="FFFF9900"/>
      <rgbColor rgb="FFE67E22"/>
      <rgbColor rgb="FF5D6D7E"/>
      <rgbColor rgb="FF4F81BD"/>
      <rgbColor rgb="FF1F3864"/>
      <rgbColor rgb="FF17A589"/>
      <rgbColor rgb="FF003300"/>
      <rgbColor rgb="FF333300"/>
      <rgbColor rgb="FFC0392B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Patients by Diagnosis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Dashboard'!AA1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Dashboard'!$Z$2:$Z$11</c:f>
              <c:strCache>
                <c:ptCount val="10"/>
                <c:pt idx="0">
                  <c:v>Hypertension</c:v>
                </c:pt>
                <c:pt idx="1">
                  <c:v>Diabetes Type 2</c:v>
                </c:pt>
                <c:pt idx="2">
                  <c:v>Asthma</c:v>
                </c:pt>
                <c:pt idx="3">
                  <c:v>Pneumonia</c:v>
                </c:pt>
                <c:pt idx="4">
                  <c:v>Arthritis</c:v>
                </c:pt>
                <c:pt idx="5">
                  <c:v>Migraine</c:v>
                </c:pt>
                <c:pt idx="6">
                  <c:v>Heart Disease</c:v>
                </c:pt>
                <c:pt idx="7">
                  <c:v>Anemia</c:v>
                </c:pt>
                <c:pt idx="8">
                  <c:v>Thyroid Disorder</c:v>
                </c:pt>
                <c:pt idx="9">
                  <c:v>Depression</c:v>
                </c:pt>
              </c:strCache>
            </c:strRef>
          </c:cat>
          <c:val>
            <c:numRef>
              <c:f>'📈 Dashboard'!$AA$2:$AA$11</c:f>
              <c:numCache>
                <c:formatCode>General</c:formatCode>
                <c:ptCount val="10"/>
                <c:pt idx="0">
                  <c:v>18</c:v>
                </c:pt>
                <c:pt idx="1">
                  <c:v>20</c:v>
                </c:pt>
                <c:pt idx="2">
                  <c:v>24</c:v>
                </c:pt>
                <c:pt idx="3">
                  <c:v>19</c:v>
                </c:pt>
                <c:pt idx="4">
                  <c:v>28</c:v>
                </c:pt>
                <c:pt idx="5">
                  <c:v>16</c:v>
                </c:pt>
                <c:pt idx="6">
                  <c:v>22</c:v>
                </c:pt>
                <c:pt idx="7">
                  <c:v>20</c:v>
                </c:pt>
                <c:pt idx="8">
                  <c:v>15</c:v>
                </c:pt>
                <c:pt idx="9">
                  <c:v>18</c:v>
                </c:pt>
              </c:numCache>
            </c:numRef>
          </c:val>
        </c:ser>
        <c:gapWidth val="150"/>
        <c:overlap val="0"/>
        <c:axId val="2536804"/>
        <c:axId val="54141867"/>
      </c:barChart>
      <c:catAx>
        <c:axId val="253680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41867"/>
        <c:crosses val="autoZero"/>
        <c:auto val="1"/>
        <c:lblAlgn val="ctr"/>
        <c:lblOffset val="100"/>
        <c:noMultiLvlLbl val="0"/>
      </c:catAx>
      <c:valAx>
        <c:axId val="541418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Diagnosis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6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Patient Outcomes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Dashboard'!AD1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bacc6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Dashboard'!$AC$2:$AC$6</c:f>
              <c:strCache>
                <c:ptCount val="5"/>
                <c:pt idx="0">
                  <c:v>Recovered</c:v>
                </c:pt>
                <c:pt idx="1">
                  <c:v>Improving</c:v>
                </c:pt>
                <c:pt idx="2">
                  <c:v>Stable</c:v>
                </c:pt>
                <c:pt idx="3">
                  <c:v>Worsening</c:v>
                </c:pt>
                <c:pt idx="4">
                  <c:v>Discharged</c:v>
                </c:pt>
              </c:strCache>
            </c:strRef>
          </c:cat>
          <c:val>
            <c:numRef>
              <c:f>'📈 Dashboard'!$AD$2:$AD$6</c:f>
              <c:numCache>
                <c:formatCode>General</c:formatCode>
                <c:ptCount val="5"/>
                <c:pt idx="0">
                  <c:v>38</c:v>
                </c:pt>
                <c:pt idx="1">
                  <c:v>34</c:v>
                </c:pt>
                <c:pt idx="2">
                  <c:v>44</c:v>
                </c:pt>
                <c:pt idx="3">
                  <c:v>47</c:v>
                </c:pt>
                <c:pt idx="4">
                  <c:v>37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Admissions by Ward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Dashboard'!AG1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Dashboard'!$AF$2:$AF$6</c:f>
              <c:strCache>
                <c:ptCount val="5"/>
                <c:pt idx="0">
                  <c:v>General</c:v>
                </c:pt>
                <c:pt idx="1">
                  <c:v>ICU</c:v>
                </c:pt>
                <c:pt idx="2">
                  <c:v>Pediatrics</c:v>
                </c:pt>
                <c:pt idx="3">
                  <c:v>Cardiology</c:v>
                </c:pt>
                <c:pt idx="4">
                  <c:v>Neurology</c:v>
                </c:pt>
              </c:strCache>
            </c:strRef>
          </c:cat>
          <c:val>
            <c:numRef>
              <c:f>'📈 Dashboard'!$AG$2:$AG$6</c:f>
              <c:numCache>
                <c:formatCode>General</c:formatCode>
                <c:ptCount val="5"/>
                <c:pt idx="0">
                  <c:v>38</c:v>
                </c:pt>
                <c:pt idx="1">
                  <c:v>22</c:v>
                </c:pt>
                <c:pt idx="2">
                  <c:v>47</c:v>
                </c:pt>
                <c:pt idx="3">
                  <c:v>43</c:v>
                </c:pt>
                <c:pt idx="4">
                  <c:v>50</c:v>
                </c:pt>
              </c:numCache>
            </c:numRef>
          </c:val>
        </c:ser>
        <c:gapWidth val="150"/>
        <c:overlap val="0"/>
        <c:axId val="24974231"/>
        <c:axId val="50596071"/>
      </c:barChart>
      <c:catAx>
        <c:axId val="24974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Ward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96071"/>
        <c:crosses val="autoZero"/>
        <c:auto val="1"/>
        <c:lblAlgn val="ctr"/>
        <c:lblOffset val="100"/>
        <c:noMultiLvlLbl val="0"/>
      </c:catAx>
      <c:valAx>
        <c:axId val="505960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742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of Stay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Dashboard'!AJ1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Dashboard'!$AI$2:$AI$6</c:f>
              <c:strCache>
                <c:ptCount val="5"/>
                <c:pt idx="0">
                  <c:v>1-2 days</c:v>
                </c:pt>
                <c:pt idx="1">
                  <c:v>3-4 days</c:v>
                </c:pt>
                <c:pt idx="2">
                  <c:v>5-6 days</c:v>
                </c:pt>
                <c:pt idx="3">
                  <c:v>7-9 days</c:v>
                </c:pt>
                <c:pt idx="4">
                  <c:v>10+ days</c:v>
                </c:pt>
              </c:strCache>
            </c:strRef>
          </c:cat>
          <c:val>
            <c:numRef>
              <c:f>'📈 Dashboard'!$AJ$2:$AJ$6</c:f>
              <c:numCache>
                <c:formatCode>General</c:formatCode>
                <c:ptCount val="5"/>
                <c:pt idx="0">
                  <c:v>31</c:v>
                </c:pt>
                <c:pt idx="1">
                  <c:v>25</c:v>
                </c:pt>
                <c:pt idx="2">
                  <c:v>31</c:v>
                </c:pt>
                <c:pt idx="3">
                  <c:v>50</c:v>
                </c:pt>
                <c:pt idx="4">
                  <c:v>63</c:v>
                </c:pt>
              </c:numCache>
            </c:numRef>
          </c:val>
        </c:ser>
        <c:gapWidth val="150"/>
        <c:overlap val="0"/>
        <c:axId val="50714036"/>
        <c:axId val="77551824"/>
      </c:barChart>
      <c:catAx>
        <c:axId val="50714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1824"/>
        <c:crosses val="autoZero"/>
        <c:auto val="1"/>
        <c:lblAlgn val="ctr"/>
        <c:lblOffset val="100"/>
        <c:noMultiLvlLbl val="0"/>
      </c:catAx>
      <c:valAx>
        <c:axId val="775518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Patients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14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Patient Satisfaction by Doctor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Dashboard'!AM1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Dashboard'!$AL$2:$AL$6</c:f>
              <c:strCache>
                <c:ptCount val="5"/>
                <c:pt idx="0">
                  <c:v>Dr. Sharma</c:v>
                </c:pt>
                <c:pt idx="1">
                  <c:v>Dr. Patel</c:v>
                </c:pt>
                <c:pt idx="2">
                  <c:v>Dr. Gupta</c:v>
                </c:pt>
                <c:pt idx="3">
                  <c:v>Dr. Singh</c:v>
                </c:pt>
                <c:pt idx="4">
                  <c:v>Dr. Verma</c:v>
                </c:pt>
              </c:strCache>
            </c:strRef>
          </c:cat>
          <c:val>
            <c:numRef>
              <c:f>'📈 Dashboard'!$AM$2:$AM$6</c:f>
              <c:numCache>
                <c:formatCode>General</c:formatCode>
                <c:ptCount val="5"/>
                <c:pt idx="0">
                  <c:v>85.8809523809524</c:v>
                </c:pt>
                <c:pt idx="1">
                  <c:v>85.5833333333333</c:v>
                </c:pt>
                <c:pt idx="2">
                  <c:v>84.8297872340426</c:v>
                </c:pt>
                <c:pt idx="3">
                  <c:v>83.6410256410256</c:v>
                </c:pt>
                <c:pt idx="4">
                  <c:v>85.5555555555556</c:v>
                </c:pt>
              </c:numCache>
            </c:numRef>
          </c:val>
        </c:ser>
        <c:gapWidth val="150"/>
        <c:overlap val="0"/>
        <c:axId val="14750542"/>
        <c:axId val="9834110"/>
      </c:barChart>
      <c:catAx>
        <c:axId val="1475054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Satisfaction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34110"/>
        <c:crosses val="autoZero"/>
        <c:auto val="1"/>
        <c:lblAlgn val="ctr"/>
        <c:lblOffset val="100"/>
        <c:noMultiLvlLbl val="0"/>
      </c:catAx>
      <c:valAx>
        <c:axId val="98341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Doctor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50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Dashboard'!AP1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Dashboard'!$AO$2:$AO$3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'📈 Dashboard'!$AP$2:$AP$3</c:f>
              <c:numCache>
                <c:formatCode>General</c:formatCode>
                <c:ptCount val="2"/>
                <c:pt idx="0">
                  <c:v>120</c:v>
                </c:pt>
                <c:pt idx="1">
                  <c:v>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14</xdr:col>
      <xdr:colOff>221040</xdr:colOff>
      <xdr:row>32</xdr:row>
      <xdr:rowOff>10440</xdr:rowOff>
    </xdr:to>
    <xdr:graphicFrame>
      <xdr:nvGraphicFramePr>
        <xdr:cNvPr id="0" name="Chart 1"/>
        <xdr:cNvGraphicFramePr/>
      </xdr:nvGraphicFramePr>
      <xdr:xfrm>
        <a:off x="0" y="27050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10</xdr:row>
      <xdr:rowOff>0</xdr:rowOff>
    </xdr:from>
    <xdr:to>
      <xdr:col>23</xdr:col>
      <xdr:colOff>260640</xdr:colOff>
      <xdr:row>32</xdr:row>
      <xdr:rowOff>10440</xdr:rowOff>
    </xdr:to>
    <xdr:graphicFrame>
      <xdr:nvGraphicFramePr>
        <xdr:cNvPr id="1" name="Chart 2"/>
        <xdr:cNvGraphicFramePr/>
      </xdr:nvGraphicFramePr>
      <xdr:xfrm>
        <a:off x="7148880" y="270504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11</xdr:col>
      <xdr:colOff>430560</xdr:colOff>
      <xdr:row>49</xdr:row>
      <xdr:rowOff>107640</xdr:rowOff>
    </xdr:to>
    <xdr:graphicFrame>
      <xdr:nvGraphicFramePr>
        <xdr:cNvPr id="2" name="Chart 3"/>
        <xdr:cNvGraphicFramePr/>
      </xdr:nvGraphicFramePr>
      <xdr:xfrm>
        <a:off x="0" y="704844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29</xdr:row>
      <xdr:rowOff>0</xdr:rowOff>
    </xdr:from>
    <xdr:to>
      <xdr:col>23</xdr:col>
      <xdr:colOff>430560</xdr:colOff>
      <xdr:row>49</xdr:row>
      <xdr:rowOff>107640</xdr:rowOff>
    </xdr:to>
    <xdr:graphicFrame>
      <xdr:nvGraphicFramePr>
        <xdr:cNvPr id="3" name="Chart 4"/>
        <xdr:cNvGraphicFramePr/>
      </xdr:nvGraphicFramePr>
      <xdr:xfrm>
        <a:off x="6598800" y="704844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11</xdr:col>
      <xdr:colOff>430560</xdr:colOff>
      <xdr:row>64</xdr:row>
      <xdr:rowOff>73440</xdr:rowOff>
    </xdr:to>
    <xdr:graphicFrame>
      <xdr:nvGraphicFramePr>
        <xdr:cNvPr id="4" name="Chart 5"/>
        <xdr:cNvGraphicFramePr/>
      </xdr:nvGraphicFramePr>
      <xdr:xfrm>
        <a:off x="0" y="111632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0</xdr:colOff>
      <xdr:row>47</xdr:row>
      <xdr:rowOff>0</xdr:rowOff>
    </xdr:from>
    <xdr:to>
      <xdr:col>21</xdr:col>
      <xdr:colOff>90360</xdr:colOff>
      <xdr:row>64</xdr:row>
      <xdr:rowOff>73440</xdr:rowOff>
    </xdr:to>
    <xdr:graphicFrame>
      <xdr:nvGraphicFramePr>
        <xdr:cNvPr id="5" name="Chart 6"/>
        <xdr:cNvGraphicFramePr/>
      </xdr:nvGraphicFramePr>
      <xdr:xfrm>
        <a:off x="6598800" y="1116324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atientData" displayName="PatientData" ref="A2:M202" headerRowCount="1" totalsRowCount="0" totalsRowShown="0">
  <autoFilter ref="A2:M202"/>
  <tableColumns count="13">
    <tableColumn id="1" name="Patient ID"/>
    <tableColumn id="2" name="Visit Date"/>
    <tableColumn id="3" name="Discharge Date"/>
    <tableColumn id="4" name="Age"/>
    <tableColumn id="5" name="Gender"/>
    <tableColumn id="6" name="Ward"/>
    <tableColumn id="7" name="Doctor"/>
    <tableColumn id="8" name="Diagnosis"/>
    <tableColumn id="9" name="Treatment"/>
    <tableColumn id="10" name="Outcome"/>
    <tableColumn id="11" name="LOS (Days)"/>
    <tableColumn id="12" name="Bill (₹)"/>
    <tableColumn id="13" name="Satisf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7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9" min="8" style="1" width="20"/>
    <col collapsed="false" customWidth="true" hidden="false" outlineLevel="0" max="10" min="10" style="1" width="13"/>
    <col collapsed="false" customWidth="true" hidden="false" outlineLevel="0" max="11" min="11" style="1" width="10"/>
    <col collapsed="false" customWidth="true" hidden="false" outlineLevel="0" max="13" min="12" style="1" width="1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5" hidden="false" customHeight="true" outlineLevel="0" collapsed="false">
      <c r="A3" s="4" t="s">
        <v>14</v>
      </c>
      <c r="B3" s="4" t="s">
        <v>15</v>
      </c>
      <c r="C3" s="4" t="s">
        <v>16</v>
      </c>
      <c r="D3" s="4" t="n">
        <v>19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5" t="s">
        <v>22</v>
      </c>
      <c r="K3" s="4" t="n">
        <v>12</v>
      </c>
      <c r="L3" s="6" t="n">
        <v>23366.89</v>
      </c>
      <c r="M3" s="7" t="n">
        <v>74</v>
      </c>
    </row>
    <row r="4" customFormat="false" ht="15" hidden="false" customHeight="true" outlineLevel="0" collapsed="false">
      <c r="A4" s="8" t="s">
        <v>23</v>
      </c>
      <c r="B4" s="8" t="s">
        <v>24</v>
      </c>
      <c r="C4" s="8" t="s">
        <v>25</v>
      </c>
      <c r="D4" s="8" t="n">
        <v>19</v>
      </c>
      <c r="E4" s="8" t="s">
        <v>17</v>
      </c>
      <c r="F4" s="8" t="s">
        <v>18</v>
      </c>
      <c r="G4" s="8" t="s">
        <v>19</v>
      </c>
      <c r="H4" s="8" t="s">
        <v>26</v>
      </c>
      <c r="I4" s="8" t="s">
        <v>27</v>
      </c>
      <c r="J4" s="5" t="s">
        <v>22</v>
      </c>
      <c r="K4" s="8" t="n">
        <v>2</v>
      </c>
      <c r="L4" s="9" t="n">
        <v>22449.57</v>
      </c>
      <c r="M4" s="10" t="n">
        <v>89</v>
      </c>
    </row>
    <row r="5" customFormat="false" ht="15" hidden="false" customHeight="true" outlineLevel="0" collapsed="false">
      <c r="A5" s="4" t="s">
        <v>28</v>
      </c>
      <c r="B5" s="4" t="s">
        <v>29</v>
      </c>
      <c r="C5" s="4" t="s">
        <v>16</v>
      </c>
      <c r="D5" s="4" t="n">
        <v>46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11" t="s">
        <v>35</v>
      </c>
      <c r="K5" s="4" t="n">
        <v>10</v>
      </c>
      <c r="L5" s="6" t="n">
        <v>65707.28</v>
      </c>
      <c r="M5" s="7" t="n">
        <v>70</v>
      </c>
    </row>
    <row r="6" customFormat="false" ht="15" hidden="false" customHeight="true" outlineLevel="0" collapsed="false">
      <c r="A6" s="8" t="s">
        <v>36</v>
      </c>
      <c r="B6" s="8" t="s">
        <v>37</v>
      </c>
      <c r="C6" s="8" t="s">
        <v>38</v>
      </c>
      <c r="D6" s="8" t="n">
        <v>31</v>
      </c>
      <c r="E6" s="8" t="s">
        <v>30</v>
      </c>
      <c r="F6" s="8" t="s">
        <v>31</v>
      </c>
      <c r="G6" s="8" t="s">
        <v>39</v>
      </c>
      <c r="H6" s="8" t="s">
        <v>40</v>
      </c>
      <c r="I6" s="8" t="s">
        <v>41</v>
      </c>
      <c r="J6" s="5" t="s">
        <v>22</v>
      </c>
      <c r="K6" s="8" t="n">
        <v>13</v>
      </c>
      <c r="L6" s="9" t="n">
        <v>12665.77</v>
      </c>
      <c r="M6" s="10" t="n">
        <v>82</v>
      </c>
    </row>
    <row r="7" customFormat="false" ht="15" hidden="false" customHeight="true" outlineLevel="0" collapsed="false">
      <c r="A7" s="4" t="s">
        <v>42</v>
      </c>
      <c r="B7" s="4" t="s">
        <v>43</v>
      </c>
      <c r="C7" s="4" t="s">
        <v>44</v>
      </c>
      <c r="D7" s="4" t="n">
        <v>69</v>
      </c>
      <c r="E7" s="4" t="s">
        <v>17</v>
      </c>
      <c r="F7" s="4" t="s">
        <v>18</v>
      </c>
      <c r="G7" s="4" t="s">
        <v>32</v>
      </c>
      <c r="H7" s="4" t="s">
        <v>45</v>
      </c>
      <c r="I7" s="4" t="s">
        <v>46</v>
      </c>
      <c r="J7" s="12" t="s">
        <v>47</v>
      </c>
      <c r="K7" s="4" t="n">
        <v>1</v>
      </c>
      <c r="L7" s="6" t="n">
        <v>45217.11</v>
      </c>
      <c r="M7" s="7" t="n">
        <v>99</v>
      </c>
    </row>
    <row r="8" customFormat="false" ht="15" hidden="false" customHeight="true" outlineLevel="0" collapsed="false">
      <c r="A8" s="8" t="s">
        <v>48</v>
      </c>
      <c r="B8" s="8" t="s">
        <v>38</v>
      </c>
      <c r="C8" s="8" t="s">
        <v>49</v>
      </c>
      <c r="D8" s="8" t="n">
        <v>74</v>
      </c>
      <c r="E8" s="8" t="s">
        <v>17</v>
      </c>
      <c r="F8" s="8" t="s">
        <v>50</v>
      </c>
      <c r="G8" s="8" t="s">
        <v>32</v>
      </c>
      <c r="H8" s="8" t="s">
        <v>51</v>
      </c>
      <c r="I8" s="8" t="s">
        <v>52</v>
      </c>
      <c r="J8" s="5" t="s">
        <v>22</v>
      </c>
      <c r="K8" s="8" t="n">
        <v>14</v>
      </c>
      <c r="L8" s="9" t="n">
        <v>48301.41</v>
      </c>
      <c r="M8" s="10" t="n">
        <v>92</v>
      </c>
    </row>
    <row r="9" customFormat="false" ht="15" hidden="false" customHeight="true" outlineLevel="0" collapsed="false">
      <c r="A9" s="4" t="s">
        <v>53</v>
      </c>
      <c r="B9" s="4" t="s">
        <v>54</v>
      </c>
      <c r="C9" s="4" t="s">
        <v>55</v>
      </c>
      <c r="D9" s="4" t="n">
        <v>72</v>
      </c>
      <c r="E9" s="4" t="s">
        <v>17</v>
      </c>
      <c r="F9" s="4" t="s">
        <v>31</v>
      </c>
      <c r="G9" s="4" t="s">
        <v>32</v>
      </c>
      <c r="H9" s="4" t="s">
        <v>20</v>
      </c>
      <c r="I9" s="4" t="s">
        <v>21</v>
      </c>
      <c r="J9" s="13" t="s">
        <v>56</v>
      </c>
      <c r="K9" s="4" t="n">
        <v>4</v>
      </c>
      <c r="L9" s="6" t="n">
        <v>33509.47</v>
      </c>
      <c r="M9" s="7" t="n">
        <v>84</v>
      </c>
    </row>
    <row r="10" customFormat="false" ht="15" hidden="false" customHeight="true" outlineLevel="0" collapsed="false">
      <c r="A10" s="8" t="s">
        <v>57</v>
      </c>
      <c r="B10" s="8" t="s">
        <v>58</v>
      </c>
      <c r="C10" s="8" t="s">
        <v>59</v>
      </c>
      <c r="D10" s="8" t="n">
        <v>60</v>
      </c>
      <c r="E10" s="8" t="s">
        <v>17</v>
      </c>
      <c r="F10" s="8" t="s">
        <v>18</v>
      </c>
      <c r="G10" s="8" t="s">
        <v>60</v>
      </c>
      <c r="H10" s="8" t="s">
        <v>33</v>
      </c>
      <c r="I10" s="8" t="s">
        <v>34</v>
      </c>
      <c r="J10" s="5" t="s">
        <v>22</v>
      </c>
      <c r="K10" s="8" t="n">
        <v>5</v>
      </c>
      <c r="L10" s="9" t="n">
        <v>75249.09</v>
      </c>
      <c r="M10" s="10" t="n">
        <v>90</v>
      </c>
    </row>
    <row r="11" customFormat="false" ht="15" hidden="false" customHeight="true" outlineLevel="0" collapsed="false">
      <c r="A11" s="4" t="s">
        <v>61</v>
      </c>
      <c r="B11" s="4" t="s">
        <v>62</v>
      </c>
      <c r="C11" s="4" t="s">
        <v>63</v>
      </c>
      <c r="D11" s="4" t="n">
        <v>47</v>
      </c>
      <c r="E11" s="4" t="s">
        <v>17</v>
      </c>
      <c r="F11" s="4" t="s">
        <v>31</v>
      </c>
      <c r="G11" s="4" t="s">
        <v>64</v>
      </c>
      <c r="H11" s="4" t="s">
        <v>40</v>
      </c>
      <c r="I11" s="4" t="s">
        <v>41</v>
      </c>
      <c r="J11" s="14" t="s">
        <v>65</v>
      </c>
      <c r="K11" s="4" t="n">
        <v>7</v>
      </c>
      <c r="L11" s="6" t="n">
        <v>79214.25</v>
      </c>
      <c r="M11" s="7" t="n">
        <v>90</v>
      </c>
    </row>
    <row r="12" customFormat="false" ht="15" hidden="false" customHeight="true" outlineLevel="0" collapsed="false">
      <c r="A12" s="8" t="s">
        <v>66</v>
      </c>
      <c r="B12" s="8" t="s">
        <v>67</v>
      </c>
      <c r="C12" s="8" t="s">
        <v>68</v>
      </c>
      <c r="D12" s="8" t="n">
        <v>70</v>
      </c>
      <c r="E12" s="8" t="s">
        <v>30</v>
      </c>
      <c r="F12" s="8" t="s">
        <v>50</v>
      </c>
      <c r="G12" s="8" t="s">
        <v>19</v>
      </c>
      <c r="H12" s="8" t="s">
        <v>33</v>
      </c>
      <c r="I12" s="8" t="s">
        <v>34</v>
      </c>
      <c r="J12" s="11" t="s">
        <v>35</v>
      </c>
      <c r="K12" s="8" t="n">
        <v>1</v>
      </c>
      <c r="L12" s="9" t="n">
        <v>35087.36</v>
      </c>
      <c r="M12" s="10" t="n">
        <v>72</v>
      </c>
    </row>
    <row r="13" customFormat="false" ht="15" hidden="false" customHeight="true" outlineLevel="0" collapsed="false">
      <c r="A13" s="4" t="s">
        <v>69</v>
      </c>
      <c r="B13" s="4" t="s">
        <v>70</v>
      </c>
      <c r="C13" s="4" t="s">
        <v>71</v>
      </c>
      <c r="D13" s="4" t="n">
        <v>74</v>
      </c>
      <c r="E13" s="4" t="s">
        <v>30</v>
      </c>
      <c r="F13" s="4" t="s">
        <v>18</v>
      </c>
      <c r="G13" s="4" t="s">
        <v>19</v>
      </c>
      <c r="H13" s="4" t="s">
        <v>72</v>
      </c>
      <c r="I13" s="4" t="s">
        <v>73</v>
      </c>
      <c r="J13" s="11" t="s">
        <v>35</v>
      </c>
      <c r="K13" s="4" t="n">
        <v>11</v>
      </c>
      <c r="L13" s="6" t="n">
        <v>15715.37</v>
      </c>
      <c r="M13" s="7" t="n">
        <v>74</v>
      </c>
    </row>
    <row r="14" customFormat="false" ht="15" hidden="false" customHeight="true" outlineLevel="0" collapsed="false">
      <c r="A14" s="8" t="s">
        <v>74</v>
      </c>
      <c r="B14" s="8" t="s">
        <v>75</v>
      </c>
      <c r="C14" s="8" t="s">
        <v>76</v>
      </c>
      <c r="D14" s="8" t="n">
        <v>43</v>
      </c>
      <c r="E14" s="8" t="s">
        <v>30</v>
      </c>
      <c r="F14" s="8" t="s">
        <v>77</v>
      </c>
      <c r="G14" s="8" t="s">
        <v>64</v>
      </c>
      <c r="H14" s="8" t="s">
        <v>51</v>
      </c>
      <c r="I14" s="8" t="s">
        <v>52</v>
      </c>
      <c r="J14" s="14" t="s">
        <v>65</v>
      </c>
      <c r="K14" s="8" t="n">
        <v>6</v>
      </c>
      <c r="L14" s="9" t="n">
        <v>79799.43</v>
      </c>
      <c r="M14" s="10" t="n">
        <v>74</v>
      </c>
    </row>
    <row r="15" customFormat="false" ht="15" hidden="false" customHeight="true" outlineLevel="0" collapsed="false">
      <c r="A15" s="4" t="s">
        <v>78</v>
      </c>
      <c r="B15" s="4" t="s">
        <v>79</v>
      </c>
      <c r="C15" s="4" t="s">
        <v>80</v>
      </c>
      <c r="D15" s="4" t="n">
        <v>27</v>
      </c>
      <c r="E15" s="4" t="s">
        <v>17</v>
      </c>
      <c r="F15" s="4" t="s">
        <v>81</v>
      </c>
      <c r="G15" s="4" t="s">
        <v>19</v>
      </c>
      <c r="H15" s="4" t="s">
        <v>20</v>
      </c>
      <c r="I15" s="4" t="s">
        <v>21</v>
      </c>
      <c r="J15" s="14" t="s">
        <v>65</v>
      </c>
      <c r="K15" s="4" t="n">
        <v>11</v>
      </c>
      <c r="L15" s="6" t="n">
        <v>64405.95</v>
      </c>
      <c r="M15" s="7" t="n">
        <v>83</v>
      </c>
    </row>
    <row r="16" customFormat="false" ht="15" hidden="false" customHeight="true" outlineLevel="0" collapsed="false">
      <c r="A16" s="8" t="s">
        <v>82</v>
      </c>
      <c r="B16" s="8" t="s">
        <v>83</v>
      </c>
      <c r="C16" s="8" t="s">
        <v>84</v>
      </c>
      <c r="D16" s="8" t="n">
        <v>47</v>
      </c>
      <c r="E16" s="8" t="s">
        <v>17</v>
      </c>
      <c r="F16" s="8" t="s">
        <v>18</v>
      </c>
      <c r="G16" s="8" t="s">
        <v>32</v>
      </c>
      <c r="H16" s="8" t="s">
        <v>51</v>
      </c>
      <c r="I16" s="8" t="s">
        <v>52</v>
      </c>
      <c r="J16" s="5" t="s">
        <v>22</v>
      </c>
      <c r="K16" s="8" t="n">
        <v>9</v>
      </c>
      <c r="L16" s="9" t="n">
        <v>77830.88</v>
      </c>
      <c r="M16" s="10" t="n">
        <v>97</v>
      </c>
    </row>
    <row r="17" customFormat="false" ht="15" hidden="false" customHeight="true" outlineLevel="0" collapsed="false">
      <c r="A17" s="4" t="s">
        <v>85</v>
      </c>
      <c r="B17" s="4" t="s">
        <v>86</v>
      </c>
      <c r="C17" s="4" t="s">
        <v>87</v>
      </c>
      <c r="D17" s="4" t="n">
        <v>25</v>
      </c>
      <c r="E17" s="4" t="s">
        <v>17</v>
      </c>
      <c r="F17" s="4" t="s">
        <v>18</v>
      </c>
      <c r="G17" s="4" t="s">
        <v>64</v>
      </c>
      <c r="H17" s="4" t="s">
        <v>88</v>
      </c>
      <c r="I17" s="4" t="s">
        <v>89</v>
      </c>
      <c r="J17" s="13" t="s">
        <v>56</v>
      </c>
      <c r="K17" s="4" t="n">
        <v>5</v>
      </c>
      <c r="L17" s="6" t="n">
        <v>16861.83</v>
      </c>
      <c r="M17" s="7" t="n">
        <v>70</v>
      </c>
    </row>
    <row r="18" customFormat="false" ht="15" hidden="false" customHeight="true" outlineLevel="0" collapsed="false">
      <c r="A18" s="8" t="s">
        <v>90</v>
      </c>
      <c r="B18" s="8" t="s">
        <v>91</v>
      </c>
      <c r="C18" s="8" t="s">
        <v>92</v>
      </c>
      <c r="D18" s="8" t="n">
        <v>71</v>
      </c>
      <c r="E18" s="8" t="s">
        <v>17</v>
      </c>
      <c r="F18" s="8" t="s">
        <v>18</v>
      </c>
      <c r="G18" s="8" t="s">
        <v>39</v>
      </c>
      <c r="H18" s="8" t="s">
        <v>45</v>
      </c>
      <c r="I18" s="8" t="s">
        <v>46</v>
      </c>
      <c r="J18" s="13" t="s">
        <v>56</v>
      </c>
      <c r="K18" s="8" t="n">
        <v>11</v>
      </c>
      <c r="L18" s="9" t="n">
        <v>50672.77</v>
      </c>
      <c r="M18" s="10" t="n">
        <v>74</v>
      </c>
    </row>
    <row r="19" customFormat="false" ht="15" hidden="false" customHeight="true" outlineLevel="0" collapsed="false">
      <c r="A19" s="4" t="s">
        <v>93</v>
      </c>
      <c r="B19" s="4" t="s">
        <v>94</v>
      </c>
      <c r="C19" s="4" t="s">
        <v>95</v>
      </c>
      <c r="D19" s="4" t="n">
        <v>56</v>
      </c>
      <c r="E19" s="4" t="s">
        <v>30</v>
      </c>
      <c r="F19" s="4" t="s">
        <v>50</v>
      </c>
      <c r="G19" s="4" t="s">
        <v>64</v>
      </c>
      <c r="H19" s="4" t="s">
        <v>26</v>
      </c>
      <c r="I19" s="4" t="s">
        <v>27</v>
      </c>
      <c r="J19" s="13" t="s">
        <v>56</v>
      </c>
      <c r="K19" s="4" t="n">
        <v>6</v>
      </c>
      <c r="L19" s="6" t="n">
        <v>6460.76</v>
      </c>
      <c r="M19" s="7" t="n">
        <v>99</v>
      </c>
    </row>
    <row r="20" customFormat="false" ht="15" hidden="false" customHeight="true" outlineLevel="0" collapsed="false">
      <c r="A20" s="8" t="s">
        <v>96</v>
      </c>
      <c r="B20" s="8" t="s">
        <v>97</v>
      </c>
      <c r="C20" s="8" t="s">
        <v>98</v>
      </c>
      <c r="D20" s="8" t="n">
        <v>74</v>
      </c>
      <c r="E20" s="8" t="s">
        <v>17</v>
      </c>
      <c r="F20" s="8" t="s">
        <v>50</v>
      </c>
      <c r="G20" s="8" t="s">
        <v>19</v>
      </c>
      <c r="H20" s="8" t="s">
        <v>33</v>
      </c>
      <c r="I20" s="8" t="s">
        <v>34</v>
      </c>
      <c r="J20" s="5" t="s">
        <v>22</v>
      </c>
      <c r="K20" s="8" t="n">
        <v>10</v>
      </c>
      <c r="L20" s="9" t="n">
        <v>11424.01</v>
      </c>
      <c r="M20" s="10" t="n">
        <v>85</v>
      </c>
    </row>
    <row r="21" customFormat="false" ht="15" hidden="false" customHeight="true" outlineLevel="0" collapsed="false">
      <c r="A21" s="4" t="s">
        <v>99</v>
      </c>
      <c r="B21" s="4" t="s">
        <v>92</v>
      </c>
      <c r="C21" s="4" t="s">
        <v>100</v>
      </c>
      <c r="D21" s="4" t="n">
        <v>28</v>
      </c>
      <c r="E21" s="4" t="s">
        <v>17</v>
      </c>
      <c r="F21" s="4" t="s">
        <v>31</v>
      </c>
      <c r="G21" s="4" t="s">
        <v>19</v>
      </c>
      <c r="H21" s="4" t="s">
        <v>101</v>
      </c>
      <c r="I21" s="4" t="s">
        <v>102</v>
      </c>
      <c r="J21" s="11" t="s">
        <v>35</v>
      </c>
      <c r="K21" s="4" t="n">
        <v>5</v>
      </c>
      <c r="L21" s="6" t="n">
        <v>70432.48</v>
      </c>
      <c r="M21" s="7" t="n">
        <v>83</v>
      </c>
    </row>
    <row r="22" customFormat="false" ht="15" hidden="false" customHeight="true" outlineLevel="0" collapsed="false">
      <c r="A22" s="8" t="s">
        <v>103</v>
      </c>
      <c r="B22" s="8" t="s">
        <v>104</v>
      </c>
      <c r="C22" s="8" t="s">
        <v>105</v>
      </c>
      <c r="D22" s="8" t="n">
        <v>46</v>
      </c>
      <c r="E22" s="8" t="s">
        <v>30</v>
      </c>
      <c r="F22" s="8" t="s">
        <v>77</v>
      </c>
      <c r="G22" s="8" t="s">
        <v>39</v>
      </c>
      <c r="H22" s="8" t="s">
        <v>88</v>
      </c>
      <c r="I22" s="8" t="s">
        <v>89</v>
      </c>
      <c r="J22" s="5" t="s">
        <v>22</v>
      </c>
      <c r="K22" s="8" t="n">
        <v>9</v>
      </c>
      <c r="L22" s="9" t="n">
        <v>14075.31</v>
      </c>
      <c r="M22" s="10" t="n">
        <v>77</v>
      </c>
    </row>
    <row r="23" customFormat="false" ht="15" hidden="false" customHeight="true" outlineLevel="0" collapsed="false">
      <c r="A23" s="4" t="s">
        <v>106</v>
      </c>
      <c r="B23" s="4" t="s">
        <v>75</v>
      </c>
      <c r="C23" s="4" t="s">
        <v>107</v>
      </c>
      <c r="D23" s="4" t="n">
        <v>32</v>
      </c>
      <c r="E23" s="4" t="s">
        <v>17</v>
      </c>
      <c r="F23" s="4" t="s">
        <v>77</v>
      </c>
      <c r="G23" s="4" t="s">
        <v>64</v>
      </c>
      <c r="H23" s="4" t="s">
        <v>101</v>
      </c>
      <c r="I23" s="4" t="s">
        <v>102</v>
      </c>
      <c r="J23" s="5" t="s">
        <v>22</v>
      </c>
      <c r="K23" s="4" t="n">
        <v>10</v>
      </c>
      <c r="L23" s="6" t="n">
        <v>5539.31</v>
      </c>
      <c r="M23" s="7" t="n">
        <v>92</v>
      </c>
    </row>
    <row r="24" customFormat="false" ht="15" hidden="false" customHeight="true" outlineLevel="0" collapsed="false">
      <c r="A24" s="8" t="s">
        <v>108</v>
      </c>
      <c r="B24" s="8" t="s">
        <v>109</v>
      </c>
      <c r="C24" s="8" t="s">
        <v>110</v>
      </c>
      <c r="D24" s="8" t="n">
        <v>22</v>
      </c>
      <c r="E24" s="8" t="s">
        <v>17</v>
      </c>
      <c r="F24" s="8" t="s">
        <v>18</v>
      </c>
      <c r="G24" s="8" t="s">
        <v>39</v>
      </c>
      <c r="H24" s="8" t="s">
        <v>88</v>
      </c>
      <c r="I24" s="8" t="s">
        <v>89</v>
      </c>
      <c r="J24" s="11" t="s">
        <v>35</v>
      </c>
      <c r="K24" s="8" t="n">
        <v>9</v>
      </c>
      <c r="L24" s="9" t="n">
        <v>25885.79</v>
      </c>
      <c r="M24" s="10" t="n">
        <v>85</v>
      </c>
    </row>
    <row r="25" customFormat="false" ht="15" hidden="false" customHeight="true" outlineLevel="0" collapsed="false">
      <c r="A25" s="4" t="s">
        <v>111</v>
      </c>
      <c r="B25" s="4" t="s">
        <v>112</v>
      </c>
      <c r="C25" s="4" t="s">
        <v>113</v>
      </c>
      <c r="D25" s="4" t="n">
        <v>33</v>
      </c>
      <c r="E25" s="4" t="s">
        <v>17</v>
      </c>
      <c r="F25" s="4" t="s">
        <v>81</v>
      </c>
      <c r="G25" s="4" t="s">
        <v>32</v>
      </c>
      <c r="H25" s="4" t="s">
        <v>114</v>
      </c>
      <c r="I25" s="4" t="s">
        <v>115</v>
      </c>
      <c r="J25" s="5" t="s">
        <v>22</v>
      </c>
      <c r="K25" s="4" t="n">
        <v>13</v>
      </c>
      <c r="L25" s="6" t="n">
        <v>65562.27</v>
      </c>
      <c r="M25" s="7" t="n">
        <v>76</v>
      </c>
    </row>
    <row r="26" customFormat="false" ht="15" hidden="false" customHeight="true" outlineLevel="0" collapsed="false">
      <c r="A26" s="8" t="s">
        <v>116</v>
      </c>
      <c r="B26" s="8" t="s">
        <v>117</v>
      </c>
      <c r="C26" s="8" t="s">
        <v>118</v>
      </c>
      <c r="D26" s="8" t="n">
        <v>44</v>
      </c>
      <c r="E26" s="8" t="s">
        <v>17</v>
      </c>
      <c r="F26" s="8" t="s">
        <v>81</v>
      </c>
      <c r="G26" s="8" t="s">
        <v>32</v>
      </c>
      <c r="H26" s="8" t="s">
        <v>72</v>
      </c>
      <c r="I26" s="8" t="s">
        <v>73</v>
      </c>
      <c r="J26" s="5" t="s">
        <v>22</v>
      </c>
      <c r="K26" s="8" t="n">
        <v>8</v>
      </c>
      <c r="L26" s="9" t="n">
        <v>55502.34</v>
      </c>
      <c r="M26" s="10" t="n">
        <v>90</v>
      </c>
    </row>
    <row r="27" customFormat="false" ht="15" hidden="false" customHeight="true" outlineLevel="0" collapsed="false">
      <c r="A27" s="4" t="s">
        <v>119</v>
      </c>
      <c r="B27" s="4" t="s">
        <v>120</v>
      </c>
      <c r="C27" s="4" t="s">
        <v>121</v>
      </c>
      <c r="D27" s="4" t="n">
        <v>33</v>
      </c>
      <c r="E27" s="4" t="s">
        <v>17</v>
      </c>
      <c r="F27" s="4" t="s">
        <v>31</v>
      </c>
      <c r="G27" s="4" t="s">
        <v>19</v>
      </c>
      <c r="H27" s="4" t="s">
        <v>20</v>
      </c>
      <c r="I27" s="4" t="s">
        <v>21</v>
      </c>
      <c r="J27" s="12" t="s">
        <v>47</v>
      </c>
      <c r="K27" s="4" t="n">
        <v>4</v>
      </c>
      <c r="L27" s="6" t="n">
        <v>45221.43</v>
      </c>
      <c r="M27" s="7" t="n">
        <v>74</v>
      </c>
    </row>
    <row r="28" customFormat="false" ht="15" hidden="false" customHeight="true" outlineLevel="0" collapsed="false">
      <c r="A28" s="8" t="s">
        <v>122</v>
      </c>
      <c r="B28" s="8" t="s">
        <v>123</v>
      </c>
      <c r="C28" s="8" t="s">
        <v>124</v>
      </c>
      <c r="D28" s="8" t="n">
        <v>73</v>
      </c>
      <c r="E28" s="8" t="s">
        <v>17</v>
      </c>
      <c r="F28" s="8" t="s">
        <v>77</v>
      </c>
      <c r="G28" s="8" t="s">
        <v>39</v>
      </c>
      <c r="H28" s="8" t="s">
        <v>33</v>
      </c>
      <c r="I28" s="8" t="s">
        <v>34</v>
      </c>
      <c r="J28" s="14" t="s">
        <v>65</v>
      </c>
      <c r="K28" s="8" t="n">
        <v>2</v>
      </c>
      <c r="L28" s="9" t="n">
        <v>65601.67</v>
      </c>
      <c r="M28" s="10" t="n">
        <v>97</v>
      </c>
    </row>
    <row r="29" customFormat="false" ht="15" hidden="false" customHeight="true" outlineLevel="0" collapsed="false">
      <c r="A29" s="4" t="s">
        <v>125</v>
      </c>
      <c r="B29" s="4" t="s">
        <v>109</v>
      </c>
      <c r="C29" s="4" t="s">
        <v>126</v>
      </c>
      <c r="D29" s="4" t="n">
        <v>80</v>
      </c>
      <c r="E29" s="4" t="s">
        <v>17</v>
      </c>
      <c r="F29" s="4" t="s">
        <v>81</v>
      </c>
      <c r="G29" s="4" t="s">
        <v>64</v>
      </c>
      <c r="H29" s="4" t="s">
        <v>26</v>
      </c>
      <c r="I29" s="4" t="s">
        <v>27</v>
      </c>
      <c r="J29" s="12" t="s">
        <v>47</v>
      </c>
      <c r="K29" s="4" t="n">
        <v>2</v>
      </c>
      <c r="L29" s="6" t="n">
        <v>17473.33</v>
      </c>
      <c r="M29" s="7" t="n">
        <v>85</v>
      </c>
    </row>
    <row r="30" customFormat="false" ht="15" hidden="false" customHeight="true" outlineLevel="0" collapsed="false">
      <c r="A30" s="8" t="s">
        <v>127</v>
      </c>
      <c r="B30" s="8" t="s">
        <v>49</v>
      </c>
      <c r="C30" s="8" t="s">
        <v>128</v>
      </c>
      <c r="D30" s="8" t="n">
        <v>42</v>
      </c>
      <c r="E30" s="8" t="s">
        <v>30</v>
      </c>
      <c r="F30" s="8" t="s">
        <v>81</v>
      </c>
      <c r="G30" s="8" t="s">
        <v>39</v>
      </c>
      <c r="H30" s="8" t="s">
        <v>40</v>
      </c>
      <c r="I30" s="8" t="s">
        <v>41</v>
      </c>
      <c r="J30" s="12" t="s">
        <v>47</v>
      </c>
      <c r="K30" s="8" t="n">
        <v>1</v>
      </c>
      <c r="L30" s="9" t="n">
        <v>24890.23</v>
      </c>
      <c r="M30" s="10" t="n">
        <v>95</v>
      </c>
    </row>
    <row r="31" customFormat="false" ht="15" hidden="false" customHeight="true" outlineLevel="0" collapsed="false">
      <c r="A31" s="4" t="s">
        <v>129</v>
      </c>
      <c r="B31" s="4" t="s">
        <v>130</v>
      </c>
      <c r="C31" s="4" t="s">
        <v>131</v>
      </c>
      <c r="D31" s="4" t="n">
        <v>27</v>
      </c>
      <c r="E31" s="4" t="s">
        <v>17</v>
      </c>
      <c r="F31" s="4" t="s">
        <v>31</v>
      </c>
      <c r="G31" s="4" t="s">
        <v>64</v>
      </c>
      <c r="H31" s="4" t="s">
        <v>114</v>
      </c>
      <c r="I31" s="4" t="s">
        <v>115</v>
      </c>
      <c r="J31" s="14" t="s">
        <v>65</v>
      </c>
      <c r="K31" s="4" t="n">
        <v>4</v>
      </c>
      <c r="L31" s="6" t="n">
        <v>21327.57</v>
      </c>
      <c r="M31" s="7" t="n">
        <v>71</v>
      </c>
    </row>
    <row r="32" customFormat="false" ht="15" hidden="false" customHeight="true" outlineLevel="0" collapsed="false">
      <c r="A32" s="8" t="s">
        <v>132</v>
      </c>
      <c r="B32" s="8" t="s">
        <v>133</v>
      </c>
      <c r="C32" s="8" t="s">
        <v>134</v>
      </c>
      <c r="D32" s="8" t="n">
        <v>55</v>
      </c>
      <c r="E32" s="8" t="s">
        <v>17</v>
      </c>
      <c r="F32" s="8" t="s">
        <v>18</v>
      </c>
      <c r="G32" s="8" t="s">
        <v>64</v>
      </c>
      <c r="H32" s="8" t="s">
        <v>26</v>
      </c>
      <c r="I32" s="8" t="s">
        <v>27</v>
      </c>
      <c r="J32" s="11" t="s">
        <v>35</v>
      </c>
      <c r="K32" s="8" t="n">
        <v>8</v>
      </c>
      <c r="L32" s="9" t="n">
        <v>73954.03</v>
      </c>
      <c r="M32" s="10" t="n">
        <v>86</v>
      </c>
    </row>
    <row r="33" customFormat="false" ht="15" hidden="false" customHeight="true" outlineLevel="0" collapsed="false">
      <c r="A33" s="4" t="s">
        <v>135</v>
      </c>
      <c r="B33" s="4" t="s">
        <v>136</v>
      </c>
      <c r="C33" s="4" t="s">
        <v>137</v>
      </c>
      <c r="D33" s="4" t="n">
        <v>22</v>
      </c>
      <c r="E33" s="4" t="s">
        <v>17</v>
      </c>
      <c r="F33" s="4" t="s">
        <v>18</v>
      </c>
      <c r="G33" s="4" t="s">
        <v>60</v>
      </c>
      <c r="H33" s="4" t="s">
        <v>40</v>
      </c>
      <c r="I33" s="4" t="s">
        <v>41</v>
      </c>
      <c r="J33" s="12" t="s">
        <v>47</v>
      </c>
      <c r="K33" s="4" t="n">
        <v>10</v>
      </c>
      <c r="L33" s="6" t="n">
        <v>55640.94</v>
      </c>
      <c r="M33" s="7" t="n">
        <v>77</v>
      </c>
    </row>
    <row r="34" customFormat="false" ht="15" hidden="false" customHeight="true" outlineLevel="0" collapsed="false">
      <c r="A34" s="8" t="s">
        <v>138</v>
      </c>
      <c r="B34" s="8" t="s">
        <v>139</v>
      </c>
      <c r="C34" s="8" t="s">
        <v>140</v>
      </c>
      <c r="D34" s="8" t="n">
        <v>56</v>
      </c>
      <c r="E34" s="8" t="s">
        <v>30</v>
      </c>
      <c r="F34" s="8" t="s">
        <v>31</v>
      </c>
      <c r="G34" s="8" t="s">
        <v>60</v>
      </c>
      <c r="H34" s="8" t="s">
        <v>51</v>
      </c>
      <c r="I34" s="8" t="s">
        <v>52</v>
      </c>
      <c r="J34" s="14" t="s">
        <v>65</v>
      </c>
      <c r="K34" s="8" t="n">
        <v>1</v>
      </c>
      <c r="L34" s="9" t="n">
        <v>11148.76</v>
      </c>
      <c r="M34" s="10" t="n">
        <v>91</v>
      </c>
    </row>
    <row r="35" customFormat="false" ht="15" hidden="false" customHeight="true" outlineLevel="0" collapsed="false">
      <c r="A35" s="4" t="s">
        <v>141</v>
      </c>
      <c r="B35" s="4" t="s">
        <v>142</v>
      </c>
      <c r="C35" s="4" t="s">
        <v>143</v>
      </c>
      <c r="D35" s="4" t="n">
        <v>33</v>
      </c>
      <c r="E35" s="4" t="s">
        <v>30</v>
      </c>
      <c r="F35" s="4" t="s">
        <v>31</v>
      </c>
      <c r="G35" s="4" t="s">
        <v>64</v>
      </c>
      <c r="H35" s="4" t="s">
        <v>88</v>
      </c>
      <c r="I35" s="4" t="s">
        <v>89</v>
      </c>
      <c r="J35" s="13" t="s">
        <v>56</v>
      </c>
      <c r="K35" s="4" t="n">
        <v>5</v>
      </c>
      <c r="L35" s="6" t="n">
        <v>14815.87</v>
      </c>
      <c r="M35" s="7" t="n">
        <v>90</v>
      </c>
    </row>
    <row r="36" customFormat="false" ht="15" hidden="false" customHeight="true" outlineLevel="0" collapsed="false">
      <c r="A36" s="8" t="s">
        <v>144</v>
      </c>
      <c r="B36" s="8" t="s">
        <v>145</v>
      </c>
      <c r="C36" s="8" t="s">
        <v>146</v>
      </c>
      <c r="D36" s="8" t="n">
        <v>47</v>
      </c>
      <c r="E36" s="8" t="s">
        <v>17</v>
      </c>
      <c r="F36" s="8" t="s">
        <v>18</v>
      </c>
      <c r="G36" s="8" t="s">
        <v>32</v>
      </c>
      <c r="H36" s="8" t="s">
        <v>26</v>
      </c>
      <c r="I36" s="8" t="s">
        <v>27</v>
      </c>
      <c r="J36" s="14" t="s">
        <v>65</v>
      </c>
      <c r="K36" s="8" t="n">
        <v>10</v>
      </c>
      <c r="L36" s="9" t="n">
        <v>79707.23</v>
      </c>
      <c r="M36" s="10" t="n">
        <v>72</v>
      </c>
    </row>
    <row r="37" customFormat="false" ht="15" hidden="false" customHeight="true" outlineLevel="0" collapsed="false">
      <c r="A37" s="4" t="s">
        <v>147</v>
      </c>
      <c r="B37" s="4" t="s">
        <v>118</v>
      </c>
      <c r="C37" s="4" t="s">
        <v>148</v>
      </c>
      <c r="D37" s="4" t="n">
        <v>77</v>
      </c>
      <c r="E37" s="4" t="s">
        <v>17</v>
      </c>
      <c r="F37" s="4" t="s">
        <v>81</v>
      </c>
      <c r="G37" s="4" t="s">
        <v>39</v>
      </c>
      <c r="H37" s="4" t="s">
        <v>40</v>
      </c>
      <c r="I37" s="4" t="s">
        <v>41</v>
      </c>
      <c r="J37" s="13" t="s">
        <v>56</v>
      </c>
      <c r="K37" s="4" t="n">
        <v>6</v>
      </c>
      <c r="L37" s="6" t="n">
        <v>70945.27</v>
      </c>
      <c r="M37" s="7" t="n">
        <v>81</v>
      </c>
    </row>
    <row r="38" customFormat="false" ht="15" hidden="false" customHeight="true" outlineLevel="0" collapsed="false">
      <c r="A38" s="8" t="s">
        <v>149</v>
      </c>
      <c r="B38" s="8" t="s">
        <v>150</v>
      </c>
      <c r="C38" s="8" t="s">
        <v>151</v>
      </c>
      <c r="D38" s="8" t="n">
        <v>57</v>
      </c>
      <c r="E38" s="8" t="s">
        <v>30</v>
      </c>
      <c r="F38" s="8" t="s">
        <v>77</v>
      </c>
      <c r="G38" s="8" t="s">
        <v>60</v>
      </c>
      <c r="H38" s="8" t="s">
        <v>45</v>
      </c>
      <c r="I38" s="8" t="s">
        <v>46</v>
      </c>
      <c r="J38" s="14" t="s">
        <v>65</v>
      </c>
      <c r="K38" s="8" t="n">
        <v>13</v>
      </c>
      <c r="L38" s="9" t="n">
        <v>44670.55</v>
      </c>
      <c r="M38" s="10" t="n">
        <v>91</v>
      </c>
    </row>
    <row r="39" customFormat="false" ht="15" hidden="false" customHeight="true" outlineLevel="0" collapsed="false">
      <c r="A39" s="4" t="s">
        <v>152</v>
      </c>
      <c r="B39" s="4" t="s">
        <v>153</v>
      </c>
      <c r="C39" s="4" t="s">
        <v>154</v>
      </c>
      <c r="D39" s="4" t="n">
        <v>25</v>
      </c>
      <c r="E39" s="4" t="s">
        <v>17</v>
      </c>
      <c r="F39" s="4" t="s">
        <v>31</v>
      </c>
      <c r="G39" s="4" t="s">
        <v>60</v>
      </c>
      <c r="H39" s="4" t="s">
        <v>45</v>
      </c>
      <c r="I39" s="4" t="s">
        <v>46</v>
      </c>
      <c r="J39" s="14" t="s">
        <v>65</v>
      </c>
      <c r="K39" s="4" t="n">
        <v>2</v>
      </c>
      <c r="L39" s="6" t="n">
        <v>16658.59</v>
      </c>
      <c r="M39" s="7" t="n">
        <v>79</v>
      </c>
    </row>
    <row r="40" customFormat="false" ht="15" hidden="false" customHeight="true" outlineLevel="0" collapsed="false">
      <c r="A40" s="8" t="s">
        <v>155</v>
      </c>
      <c r="B40" s="8" t="s">
        <v>83</v>
      </c>
      <c r="C40" s="8" t="s">
        <v>156</v>
      </c>
      <c r="D40" s="8" t="n">
        <v>50</v>
      </c>
      <c r="E40" s="8" t="s">
        <v>17</v>
      </c>
      <c r="F40" s="8" t="s">
        <v>81</v>
      </c>
      <c r="G40" s="8" t="s">
        <v>32</v>
      </c>
      <c r="H40" s="8" t="s">
        <v>45</v>
      </c>
      <c r="I40" s="8" t="s">
        <v>46</v>
      </c>
      <c r="J40" s="5" t="s">
        <v>22</v>
      </c>
      <c r="K40" s="8" t="n">
        <v>8</v>
      </c>
      <c r="L40" s="9" t="n">
        <v>72900.24</v>
      </c>
      <c r="M40" s="10" t="n">
        <v>97</v>
      </c>
    </row>
    <row r="41" customFormat="false" ht="15" hidden="false" customHeight="true" outlineLevel="0" collapsed="false">
      <c r="A41" s="4" t="s">
        <v>157</v>
      </c>
      <c r="B41" s="4" t="s">
        <v>158</v>
      </c>
      <c r="C41" s="4" t="s">
        <v>159</v>
      </c>
      <c r="D41" s="4" t="n">
        <v>18</v>
      </c>
      <c r="E41" s="4" t="s">
        <v>30</v>
      </c>
      <c r="F41" s="4" t="s">
        <v>18</v>
      </c>
      <c r="G41" s="4" t="s">
        <v>19</v>
      </c>
      <c r="H41" s="4" t="s">
        <v>26</v>
      </c>
      <c r="I41" s="4" t="s">
        <v>27</v>
      </c>
      <c r="J41" s="11" t="s">
        <v>35</v>
      </c>
      <c r="K41" s="4" t="n">
        <v>6</v>
      </c>
      <c r="L41" s="6" t="n">
        <v>52783.5</v>
      </c>
      <c r="M41" s="7" t="n">
        <v>78</v>
      </c>
    </row>
    <row r="42" customFormat="false" ht="15" hidden="false" customHeight="true" outlineLevel="0" collapsed="false">
      <c r="A42" s="8" t="s">
        <v>160</v>
      </c>
      <c r="B42" s="8" t="s">
        <v>161</v>
      </c>
      <c r="C42" s="8" t="s">
        <v>97</v>
      </c>
      <c r="D42" s="8" t="n">
        <v>18</v>
      </c>
      <c r="E42" s="8" t="s">
        <v>17</v>
      </c>
      <c r="F42" s="8" t="s">
        <v>31</v>
      </c>
      <c r="G42" s="8" t="s">
        <v>39</v>
      </c>
      <c r="H42" s="8" t="s">
        <v>101</v>
      </c>
      <c r="I42" s="8" t="s">
        <v>102</v>
      </c>
      <c r="J42" s="11" t="s">
        <v>35</v>
      </c>
      <c r="K42" s="8" t="n">
        <v>2</v>
      </c>
      <c r="L42" s="9" t="n">
        <v>75878.82</v>
      </c>
      <c r="M42" s="10" t="n">
        <v>92</v>
      </c>
    </row>
    <row r="43" customFormat="false" ht="15" hidden="false" customHeight="true" outlineLevel="0" collapsed="false">
      <c r="A43" s="4" t="s">
        <v>162</v>
      </c>
      <c r="B43" s="4" t="s">
        <v>163</v>
      </c>
      <c r="C43" s="4" t="s">
        <v>159</v>
      </c>
      <c r="D43" s="4" t="n">
        <v>27</v>
      </c>
      <c r="E43" s="4" t="s">
        <v>30</v>
      </c>
      <c r="F43" s="4" t="s">
        <v>50</v>
      </c>
      <c r="G43" s="4" t="s">
        <v>60</v>
      </c>
      <c r="H43" s="4" t="s">
        <v>101</v>
      </c>
      <c r="I43" s="4" t="s">
        <v>102</v>
      </c>
      <c r="J43" s="5" t="s">
        <v>22</v>
      </c>
      <c r="K43" s="4" t="n">
        <v>7</v>
      </c>
      <c r="L43" s="6" t="n">
        <v>8137.16</v>
      </c>
      <c r="M43" s="7" t="n">
        <v>81</v>
      </c>
    </row>
    <row r="44" customFormat="false" ht="15" hidden="false" customHeight="true" outlineLevel="0" collapsed="false">
      <c r="A44" s="8" t="s">
        <v>164</v>
      </c>
      <c r="B44" s="8" t="s">
        <v>165</v>
      </c>
      <c r="C44" s="8" t="s">
        <v>166</v>
      </c>
      <c r="D44" s="8" t="n">
        <v>40</v>
      </c>
      <c r="E44" s="8" t="s">
        <v>17</v>
      </c>
      <c r="F44" s="8" t="s">
        <v>50</v>
      </c>
      <c r="G44" s="8" t="s">
        <v>60</v>
      </c>
      <c r="H44" s="8" t="s">
        <v>20</v>
      </c>
      <c r="I44" s="8" t="s">
        <v>21</v>
      </c>
      <c r="J44" s="14" t="s">
        <v>65</v>
      </c>
      <c r="K44" s="8" t="n">
        <v>13</v>
      </c>
      <c r="L44" s="9" t="n">
        <v>71310.1</v>
      </c>
      <c r="M44" s="10" t="n">
        <v>83</v>
      </c>
    </row>
    <row r="45" customFormat="false" ht="15" hidden="false" customHeight="true" outlineLevel="0" collapsed="false">
      <c r="A45" s="4" t="s">
        <v>167</v>
      </c>
      <c r="B45" s="4" t="s">
        <v>168</v>
      </c>
      <c r="C45" s="4" t="s">
        <v>169</v>
      </c>
      <c r="D45" s="4" t="n">
        <v>74</v>
      </c>
      <c r="E45" s="4" t="s">
        <v>30</v>
      </c>
      <c r="F45" s="4" t="s">
        <v>50</v>
      </c>
      <c r="G45" s="4" t="s">
        <v>32</v>
      </c>
      <c r="H45" s="4" t="s">
        <v>40</v>
      </c>
      <c r="I45" s="4" t="s">
        <v>41</v>
      </c>
      <c r="J45" s="13" t="s">
        <v>56</v>
      </c>
      <c r="K45" s="4" t="n">
        <v>7</v>
      </c>
      <c r="L45" s="6" t="n">
        <v>18452.05</v>
      </c>
      <c r="M45" s="7" t="n">
        <v>99</v>
      </c>
    </row>
    <row r="46" customFormat="false" ht="15" hidden="false" customHeight="true" outlineLevel="0" collapsed="false">
      <c r="A46" s="8" t="s">
        <v>170</v>
      </c>
      <c r="B46" s="8" t="s">
        <v>55</v>
      </c>
      <c r="C46" s="8" t="s">
        <v>171</v>
      </c>
      <c r="D46" s="8" t="n">
        <v>68</v>
      </c>
      <c r="E46" s="8" t="s">
        <v>17</v>
      </c>
      <c r="F46" s="8" t="s">
        <v>50</v>
      </c>
      <c r="G46" s="8" t="s">
        <v>19</v>
      </c>
      <c r="H46" s="8" t="s">
        <v>40</v>
      </c>
      <c r="I46" s="8" t="s">
        <v>41</v>
      </c>
      <c r="J46" s="12" t="s">
        <v>47</v>
      </c>
      <c r="K46" s="8" t="n">
        <v>12</v>
      </c>
      <c r="L46" s="9" t="n">
        <v>33690.63</v>
      </c>
      <c r="M46" s="10" t="n">
        <v>71</v>
      </c>
    </row>
    <row r="47" customFormat="false" ht="15" hidden="false" customHeight="true" outlineLevel="0" collapsed="false">
      <c r="A47" s="4" t="s">
        <v>172</v>
      </c>
      <c r="B47" s="4" t="s">
        <v>173</v>
      </c>
      <c r="C47" s="4" t="s">
        <v>110</v>
      </c>
      <c r="D47" s="4" t="n">
        <v>37</v>
      </c>
      <c r="E47" s="4" t="s">
        <v>30</v>
      </c>
      <c r="F47" s="4" t="s">
        <v>31</v>
      </c>
      <c r="G47" s="4" t="s">
        <v>32</v>
      </c>
      <c r="H47" s="4" t="s">
        <v>88</v>
      </c>
      <c r="I47" s="4" t="s">
        <v>89</v>
      </c>
      <c r="J47" s="11" t="s">
        <v>35</v>
      </c>
      <c r="K47" s="4" t="n">
        <v>14</v>
      </c>
      <c r="L47" s="6" t="n">
        <v>21719.27</v>
      </c>
      <c r="M47" s="7" t="n">
        <v>91</v>
      </c>
    </row>
    <row r="48" customFormat="false" ht="15" hidden="false" customHeight="true" outlineLevel="0" collapsed="false">
      <c r="A48" s="8" t="s">
        <v>174</v>
      </c>
      <c r="B48" s="8" t="s">
        <v>29</v>
      </c>
      <c r="C48" s="8" t="s">
        <v>131</v>
      </c>
      <c r="D48" s="8" t="n">
        <v>79</v>
      </c>
      <c r="E48" s="8" t="s">
        <v>30</v>
      </c>
      <c r="F48" s="8" t="s">
        <v>77</v>
      </c>
      <c r="G48" s="8" t="s">
        <v>64</v>
      </c>
      <c r="H48" s="8" t="s">
        <v>20</v>
      </c>
      <c r="I48" s="8" t="s">
        <v>21</v>
      </c>
      <c r="J48" s="12" t="s">
        <v>47</v>
      </c>
      <c r="K48" s="8" t="n">
        <v>13</v>
      </c>
      <c r="L48" s="9" t="n">
        <v>31335.96</v>
      </c>
      <c r="M48" s="10" t="n">
        <v>86</v>
      </c>
    </row>
    <row r="49" customFormat="false" ht="15" hidden="false" customHeight="true" outlineLevel="0" collapsed="false">
      <c r="A49" s="4" t="s">
        <v>175</v>
      </c>
      <c r="B49" s="4" t="s">
        <v>176</v>
      </c>
      <c r="C49" s="4" t="s">
        <v>63</v>
      </c>
      <c r="D49" s="4" t="n">
        <v>29</v>
      </c>
      <c r="E49" s="4" t="s">
        <v>30</v>
      </c>
      <c r="F49" s="4" t="s">
        <v>31</v>
      </c>
      <c r="G49" s="4" t="s">
        <v>19</v>
      </c>
      <c r="H49" s="4" t="s">
        <v>45</v>
      </c>
      <c r="I49" s="4" t="s">
        <v>46</v>
      </c>
      <c r="J49" s="12" t="s">
        <v>47</v>
      </c>
      <c r="K49" s="4" t="n">
        <v>10</v>
      </c>
      <c r="L49" s="6" t="n">
        <v>7869.29</v>
      </c>
      <c r="M49" s="7" t="n">
        <v>89</v>
      </c>
    </row>
    <row r="50" customFormat="false" ht="15" hidden="false" customHeight="true" outlineLevel="0" collapsed="false">
      <c r="A50" s="8" t="s">
        <v>177</v>
      </c>
      <c r="B50" s="8" t="s">
        <v>178</v>
      </c>
      <c r="C50" s="8" t="s">
        <v>179</v>
      </c>
      <c r="D50" s="8" t="n">
        <v>80</v>
      </c>
      <c r="E50" s="8" t="s">
        <v>30</v>
      </c>
      <c r="F50" s="8" t="s">
        <v>77</v>
      </c>
      <c r="G50" s="8" t="s">
        <v>19</v>
      </c>
      <c r="H50" s="8" t="s">
        <v>51</v>
      </c>
      <c r="I50" s="8" t="s">
        <v>52</v>
      </c>
      <c r="J50" s="11" t="s">
        <v>35</v>
      </c>
      <c r="K50" s="8" t="n">
        <v>9</v>
      </c>
      <c r="L50" s="9" t="n">
        <v>33889.66</v>
      </c>
      <c r="M50" s="10" t="n">
        <v>88</v>
      </c>
    </row>
    <row r="51" customFormat="false" ht="15" hidden="false" customHeight="true" outlineLevel="0" collapsed="false">
      <c r="A51" s="4" t="s">
        <v>180</v>
      </c>
      <c r="B51" s="4" t="s">
        <v>100</v>
      </c>
      <c r="C51" s="4" t="s">
        <v>145</v>
      </c>
      <c r="D51" s="4" t="n">
        <v>51</v>
      </c>
      <c r="E51" s="4" t="s">
        <v>30</v>
      </c>
      <c r="F51" s="4" t="s">
        <v>81</v>
      </c>
      <c r="G51" s="4" t="s">
        <v>64</v>
      </c>
      <c r="H51" s="4" t="s">
        <v>26</v>
      </c>
      <c r="I51" s="4" t="s">
        <v>27</v>
      </c>
      <c r="J51" s="11" t="s">
        <v>35</v>
      </c>
      <c r="K51" s="4" t="n">
        <v>13</v>
      </c>
      <c r="L51" s="6" t="n">
        <v>56514.29</v>
      </c>
      <c r="M51" s="7" t="n">
        <v>100</v>
      </c>
    </row>
    <row r="52" customFormat="false" ht="15" hidden="false" customHeight="true" outlineLevel="0" collapsed="false">
      <c r="A52" s="8" t="s">
        <v>181</v>
      </c>
      <c r="B52" s="8" t="s">
        <v>182</v>
      </c>
      <c r="C52" s="8" t="s">
        <v>183</v>
      </c>
      <c r="D52" s="8" t="n">
        <v>57</v>
      </c>
      <c r="E52" s="8" t="s">
        <v>30</v>
      </c>
      <c r="F52" s="8" t="s">
        <v>81</v>
      </c>
      <c r="G52" s="8" t="s">
        <v>32</v>
      </c>
      <c r="H52" s="8" t="s">
        <v>88</v>
      </c>
      <c r="I52" s="8" t="s">
        <v>89</v>
      </c>
      <c r="J52" s="13" t="s">
        <v>56</v>
      </c>
      <c r="K52" s="8" t="n">
        <v>6</v>
      </c>
      <c r="L52" s="9" t="n">
        <v>68601.15</v>
      </c>
      <c r="M52" s="10" t="n">
        <v>93</v>
      </c>
    </row>
    <row r="53" customFormat="false" ht="15" hidden="false" customHeight="true" outlineLevel="0" collapsed="false">
      <c r="A53" s="4" t="s">
        <v>184</v>
      </c>
      <c r="B53" s="4" t="s">
        <v>153</v>
      </c>
      <c r="C53" s="4" t="s">
        <v>145</v>
      </c>
      <c r="D53" s="4" t="n">
        <v>62</v>
      </c>
      <c r="E53" s="4" t="s">
        <v>17</v>
      </c>
      <c r="F53" s="4" t="s">
        <v>18</v>
      </c>
      <c r="G53" s="4" t="s">
        <v>39</v>
      </c>
      <c r="H53" s="4" t="s">
        <v>72</v>
      </c>
      <c r="I53" s="4" t="s">
        <v>73</v>
      </c>
      <c r="J53" s="12" t="s">
        <v>47</v>
      </c>
      <c r="K53" s="4" t="n">
        <v>5</v>
      </c>
      <c r="L53" s="6" t="n">
        <v>14546.58</v>
      </c>
      <c r="M53" s="7" t="n">
        <v>83</v>
      </c>
    </row>
    <row r="54" customFormat="false" ht="15" hidden="false" customHeight="true" outlineLevel="0" collapsed="false">
      <c r="A54" s="8" t="s">
        <v>185</v>
      </c>
      <c r="B54" s="8" t="s">
        <v>186</v>
      </c>
      <c r="C54" s="8" t="s">
        <v>187</v>
      </c>
      <c r="D54" s="8" t="n">
        <v>43</v>
      </c>
      <c r="E54" s="8" t="s">
        <v>30</v>
      </c>
      <c r="F54" s="8" t="s">
        <v>81</v>
      </c>
      <c r="G54" s="8" t="s">
        <v>19</v>
      </c>
      <c r="H54" s="8" t="s">
        <v>45</v>
      </c>
      <c r="I54" s="8" t="s">
        <v>46</v>
      </c>
      <c r="J54" s="12" t="s">
        <v>47</v>
      </c>
      <c r="K54" s="8" t="n">
        <v>9</v>
      </c>
      <c r="L54" s="9" t="n">
        <v>27790.62</v>
      </c>
      <c r="M54" s="10" t="n">
        <v>76</v>
      </c>
    </row>
    <row r="55" customFormat="false" ht="15" hidden="false" customHeight="true" outlineLevel="0" collapsed="false">
      <c r="A55" s="4" t="s">
        <v>188</v>
      </c>
      <c r="B55" s="4" t="s">
        <v>189</v>
      </c>
      <c r="C55" s="4" t="s">
        <v>134</v>
      </c>
      <c r="D55" s="4" t="n">
        <v>61</v>
      </c>
      <c r="E55" s="4" t="s">
        <v>17</v>
      </c>
      <c r="F55" s="4" t="s">
        <v>31</v>
      </c>
      <c r="G55" s="4" t="s">
        <v>39</v>
      </c>
      <c r="H55" s="4" t="s">
        <v>114</v>
      </c>
      <c r="I55" s="4" t="s">
        <v>115</v>
      </c>
      <c r="J55" s="11" t="s">
        <v>35</v>
      </c>
      <c r="K55" s="4" t="n">
        <v>4</v>
      </c>
      <c r="L55" s="6" t="n">
        <v>40488.96</v>
      </c>
      <c r="M55" s="7" t="n">
        <v>98</v>
      </c>
    </row>
    <row r="56" customFormat="false" ht="15" hidden="false" customHeight="true" outlineLevel="0" collapsed="false">
      <c r="A56" s="8" t="s">
        <v>190</v>
      </c>
      <c r="B56" s="8" t="s">
        <v>191</v>
      </c>
      <c r="C56" s="8" t="s">
        <v>107</v>
      </c>
      <c r="D56" s="8" t="n">
        <v>39</v>
      </c>
      <c r="E56" s="8" t="s">
        <v>17</v>
      </c>
      <c r="F56" s="8" t="s">
        <v>77</v>
      </c>
      <c r="G56" s="8" t="s">
        <v>64</v>
      </c>
      <c r="H56" s="8" t="s">
        <v>51</v>
      </c>
      <c r="I56" s="8" t="s">
        <v>52</v>
      </c>
      <c r="J56" s="11" t="s">
        <v>35</v>
      </c>
      <c r="K56" s="8" t="n">
        <v>2</v>
      </c>
      <c r="L56" s="9" t="n">
        <v>55459.68</v>
      </c>
      <c r="M56" s="10" t="n">
        <v>77</v>
      </c>
    </row>
    <row r="57" customFormat="false" ht="15" hidden="false" customHeight="true" outlineLevel="0" collapsed="false">
      <c r="A57" s="4" t="s">
        <v>192</v>
      </c>
      <c r="B57" s="4" t="s">
        <v>193</v>
      </c>
      <c r="C57" s="4" t="s">
        <v>194</v>
      </c>
      <c r="D57" s="4" t="n">
        <v>80</v>
      </c>
      <c r="E57" s="4" t="s">
        <v>30</v>
      </c>
      <c r="F57" s="4" t="s">
        <v>18</v>
      </c>
      <c r="G57" s="4" t="s">
        <v>60</v>
      </c>
      <c r="H57" s="4" t="s">
        <v>33</v>
      </c>
      <c r="I57" s="4" t="s">
        <v>34</v>
      </c>
      <c r="J57" s="12" t="s">
        <v>47</v>
      </c>
      <c r="K57" s="4" t="n">
        <v>8</v>
      </c>
      <c r="L57" s="6" t="n">
        <v>68730.33</v>
      </c>
      <c r="M57" s="7" t="n">
        <v>72</v>
      </c>
    </row>
    <row r="58" customFormat="false" ht="15" hidden="false" customHeight="true" outlineLevel="0" collapsed="false">
      <c r="A58" s="8" t="s">
        <v>195</v>
      </c>
      <c r="B58" s="8" t="s">
        <v>196</v>
      </c>
      <c r="C58" s="8" t="s">
        <v>197</v>
      </c>
      <c r="D58" s="8" t="n">
        <v>49</v>
      </c>
      <c r="E58" s="8" t="s">
        <v>17</v>
      </c>
      <c r="F58" s="8" t="s">
        <v>81</v>
      </c>
      <c r="G58" s="8" t="s">
        <v>60</v>
      </c>
      <c r="H58" s="8" t="s">
        <v>72</v>
      </c>
      <c r="I58" s="8" t="s">
        <v>73</v>
      </c>
      <c r="J58" s="5" t="s">
        <v>22</v>
      </c>
      <c r="K58" s="8" t="n">
        <v>7</v>
      </c>
      <c r="L58" s="9" t="n">
        <v>16067.85</v>
      </c>
      <c r="M58" s="10" t="n">
        <v>92</v>
      </c>
    </row>
    <row r="59" customFormat="false" ht="15" hidden="false" customHeight="true" outlineLevel="0" collapsed="false">
      <c r="A59" s="4" t="s">
        <v>198</v>
      </c>
      <c r="B59" s="4" t="s">
        <v>134</v>
      </c>
      <c r="C59" s="4" t="s">
        <v>199</v>
      </c>
      <c r="D59" s="4" t="n">
        <v>69</v>
      </c>
      <c r="E59" s="4" t="s">
        <v>17</v>
      </c>
      <c r="F59" s="4" t="s">
        <v>81</v>
      </c>
      <c r="G59" s="4" t="s">
        <v>60</v>
      </c>
      <c r="H59" s="4" t="s">
        <v>40</v>
      </c>
      <c r="I59" s="4" t="s">
        <v>41</v>
      </c>
      <c r="J59" s="11" t="s">
        <v>35</v>
      </c>
      <c r="K59" s="4" t="n">
        <v>12</v>
      </c>
      <c r="L59" s="6" t="n">
        <v>39841.24</v>
      </c>
      <c r="M59" s="7" t="n">
        <v>87</v>
      </c>
    </row>
    <row r="60" customFormat="false" ht="15" hidden="false" customHeight="true" outlineLevel="0" collapsed="false">
      <c r="A60" s="8" t="s">
        <v>200</v>
      </c>
      <c r="B60" s="8" t="s">
        <v>165</v>
      </c>
      <c r="C60" s="8" t="s">
        <v>201</v>
      </c>
      <c r="D60" s="8" t="n">
        <v>60</v>
      </c>
      <c r="E60" s="8" t="s">
        <v>30</v>
      </c>
      <c r="F60" s="8" t="s">
        <v>18</v>
      </c>
      <c r="G60" s="8" t="s">
        <v>19</v>
      </c>
      <c r="H60" s="8" t="s">
        <v>114</v>
      </c>
      <c r="I60" s="8" t="s">
        <v>115</v>
      </c>
      <c r="J60" s="12" t="s">
        <v>47</v>
      </c>
      <c r="K60" s="8" t="n">
        <v>9</v>
      </c>
      <c r="L60" s="9" t="n">
        <v>49658.92</v>
      </c>
      <c r="M60" s="10" t="n">
        <v>100</v>
      </c>
    </row>
    <row r="61" customFormat="false" ht="15" hidden="false" customHeight="true" outlineLevel="0" collapsed="false">
      <c r="A61" s="4" t="s">
        <v>202</v>
      </c>
      <c r="B61" s="4" t="s">
        <v>203</v>
      </c>
      <c r="C61" s="4" t="s">
        <v>133</v>
      </c>
      <c r="D61" s="4" t="n">
        <v>65</v>
      </c>
      <c r="E61" s="4" t="s">
        <v>30</v>
      </c>
      <c r="F61" s="4" t="s">
        <v>18</v>
      </c>
      <c r="G61" s="4" t="s">
        <v>19</v>
      </c>
      <c r="H61" s="4" t="s">
        <v>40</v>
      </c>
      <c r="I61" s="4" t="s">
        <v>41</v>
      </c>
      <c r="J61" s="11" t="s">
        <v>35</v>
      </c>
      <c r="K61" s="4" t="n">
        <v>14</v>
      </c>
      <c r="L61" s="6" t="n">
        <v>38755.23</v>
      </c>
      <c r="M61" s="7" t="n">
        <v>94</v>
      </c>
    </row>
    <row r="62" customFormat="false" ht="15" hidden="false" customHeight="true" outlineLevel="0" collapsed="false">
      <c r="A62" s="8" t="s">
        <v>204</v>
      </c>
      <c r="B62" s="8" t="s">
        <v>205</v>
      </c>
      <c r="C62" s="8" t="s">
        <v>206</v>
      </c>
      <c r="D62" s="8" t="n">
        <v>35</v>
      </c>
      <c r="E62" s="8" t="s">
        <v>30</v>
      </c>
      <c r="F62" s="8" t="s">
        <v>31</v>
      </c>
      <c r="G62" s="8" t="s">
        <v>39</v>
      </c>
      <c r="H62" s="8" t="s">
        <v>33</v>
      </c>
      <c r="I62" s="8" t="s">
        <v>34</v>
      </c>
      <c r="J62" s="13" t="s">
        <v>56</v>
      </c>
      <c r="K62" s="8" t="n">
        <v>8</v>
      </c>
      <c r="L62" s="9" t="n">
        <v>58515.86</v>
      </c>
      <c r="M62" s="10" t="n">
        <v>77</v>
      </c>
    </row>
    <row r="63" customFormat="false" ht="15" hidden="false" customHeight="true" outlineLevel="0" collapsed="false">
      <c r="A63" s="4" t="s">
        <v>207</v>
      </c>
      <c r="B63" s="4" t="s">
        <v>76</v>
      </c>
      <c r="C63" s="4" t="s">
        <v>109</v>
      </c>
      <c r="D63" s="4" t="n">
        <v>26</v>
      </c>
      <c r="E63" s="4" t="s">
        <v>17</v>
      </c>
      <c r="F63" s="4" t="s">
        <v>81</v>
      </c>
      <c r="G63" s="4" t="s">
        <v>19</v>
      </c>
      <c r="H63" s="4" t="s">
        <v>20</v>
      </c>
      <c r="I63" s="4" t="s">
        <v>21</v>
      </c>
      <c r="J63" s="11" t="s">
        <v>35</v>
      </c>
      <c r="K63" s="4" t="n">
        <v>3</v>
      </c>
      <c r="L63" s="6" t="n">
        <v>33727.65</v>
      </c>
      <c r="M63" s="7" t="n">
        <v>74</v>
      </c>
    </row>
    <row r="64" customFormat="false" ht="15" hidden="false" customHeight="true" outlineLevel="0" collapsed="false">
      <c r="A64" s="8" t="s">
        <v>208</v>
      </c>
      <c r="B64" s="8" t="s">
        <v>209</v>
      </c>
      <c r="C64" s="8" t="s">
        <v>210</v>
      </c>
      <c r="D64" s="8" t="n">
        <v>52</v>
      </c>
      <c r="E64" s="8" t="s">
        <v>30</v>
      </c>
      <c r="F64" s="8" t="s">
        <v>18</v>
      </c>
      <c r="G64" s="8" t="s">
        <v>64</v>
      </c>
      <c r="H64" s="8" t="s">
        <v>88</v>
      </c>
      <c r="I64" s="8" t="s">
        <v>89</v>
      </c>
      <c r="J64" s="12" t="s">
        <v>47</v>
      </c>
      <c r="K64" s="8" t="n">
        <v>8</v>
      </c>
      <c r="L64" s="9" t="n">
        <v>9669.93</v>
      </c>
      <c r="M64" s="10" t="n">
        <v>96</v>
      </c>
    </row>
    <row r="65" customFormat="false" ht="15" hidden="false" customHeight="true" outlineLevel="0" collapsed="false">
      <c r="A65" s="4" t="s">
        <v>211</v>
      </c>
      <c r="B65" s="4" t="s">
        <v>212</v>
      </c>
      <c r="C65" s="4" t="s">
        <v>213</v>
      </c>
      <c r="D65" s="4" t="n">
        <v>42</v>
      </c>
      <c r="E65" s="4" t="s">
        <v>30</v>
      </c>
      <c r="F65" s="4" t="s">
        <v>18</v>
      </c>
      <c r="G65" s="4" t="s">
        <v>39</v>
      </c>
      <c r="H65" s="4" t="s">
        <v>51</v>
      </c>
      <c r="I65" s="4" t="s">
        <v>52</v>
      </c>
      <c r="J65" s="12" t="s">
        <v>47</v>
      </c>
      <c r="K65" s="4" t="n">
        <v>8</v>
      </c>
      <c r="L65" s="6" t="n">
        <v>75705.62</v>
      </c>
      <c r="M65" s="7" t="n">
        <v>79</v>
      </c>
    </row>
    <row r="66" customFormat="false" ht="15" hidden="false" customHeight="true" outlineLevel="0" collapsed="false">
      <c r="A66" s="8" t="s">
        <v>214</v>
      </c>
      <c r="B66" s="8" t="s">
        <v>215</v>
      </c>
      <c r="C66" s="8" t="s">
        <v>216</v>
      </c>
      <c r="D66" s="8" t="n">
        <v>75</v>
      </c>
      <c r="E66" s="8" t="s">
        <v>17</v>
      </c>
      <c r="F66" s="8" t="s">
        <v>81</v>
      </c>
      <c r="G66" s="8" t="s">
        <v>32</v>
      </c>
      <c r="H66" s="8" t="s">
        <v>51</v>
      </c>
      <c r="I66" s="8" t="s">
        <v>52</v>
      </c>
      <c r="J66" s="12" t="s">
        <v>47</v>
      </c>
      <c r="K66" s="8" t="n">
        <v>4</v>
      </c>
      <c r="L66" s="9" t="n">
        <v>21456.62</v>
      </c>
      <c r="M66" s="10" t="n">
        <v>83</v>
      </c>
    </row>
    <row r="67" customFormat="false" ht="15" hidden="false" customHeight="true" outlineLevel="0" collapsed="false">
      <c r="A67" s="4" t="s">
        <v>217</v>
      </c>
      <c r="B67" s="4" t="s">
        <v>218</v>
      </c>
      <c r="C67" s="4" t="s">
        <v>112</v>
      </c>
      <c r="D67" s="4" t="n">
        <v>64</v>
      </c>
      <c r="E67" s="4" t="s">
        <v>17</v>
      </c>
      <c r="F67" s="4" t="s">
        <v>81</v>
      </c>
      <c r="G67" s="4" t="s">
        <v>39</v>
      </c>
      <c r="H67" s="4" t="s">
        <v>72</v>
      </c>
      <c r="I67" s="4" t="s">
        <v>73</v>
      </c>
      <c r="J67" s="14" t="s">
        <v>65</v>
      </c>
      <c r="K67" s="4" t="n">
        <v>3</v>
      </c>
      <c r="L67" s="6" t="n">
        <v>73965.62</v>
      </c>
      <c r="M67" s="7" t="n">
        <v>89</v>
      </c>
    </row>
    <row r="68" customFormat="false" ht="15" hidden="false" customHeight="true" outlineLevel="0" collapsed="false">
      <c r="A68" s="8" t="s">
        <v>219</v>
      </c>
      <c r="B68" s="8" t="s">
        <v>220</v>
      </c>
      <c r="C68" s="8" t="s">
        <v>221</v>
      </c>
      <c r="D68" s="8" t="n">
        <v>60</v>
      </c>
      <c r="E68" s="8" t="s">
        <v>17</v>
      </c>
      <c r="F68" s="8" t="s">
        <v>77</v>
      </c>
      <c r="G68" s="8" t="s">
        <v>32</v>
      </c>
      <c r="H68" s="8" t="s">
        <v>51</v>
      </c>
      <c r="I68" s="8" t="s">
        <v>52</v>
      </c>
      <c r="J68" s="12" t="s">
        <v>47</v>
      </c>
      <c r="K68" s="8" t="n">
        <v>1</v>
      </c>
      <c r="L68" s="9" t="n">
        <v>53206.22</v>
      </c>
      <c r="M68" s="10" t="n">
        <v>74</v>
      </c>
    </row>
    <row r="69" customFormat="false" ht="15" hidden="false" customHeight="true" outlineLevel="0" collapsed="false">
      <c r="A69" s="4" t="s">
        <v>222</v>
      </c>
      <c r="B69" s="4" t="s">
        <v>223</v>
      </c>
      <c r="C69" s="4" t="s">
        <v>44</v>
      </c>
      <c r="D69" s="4" t="n">
        <v>38</v>
      </c>
      <c r="E69" s="4" t="s">
        <v>30</v>
      </c>
      <c r="F69" s="4" t="s">
        <v>81</v>
      </c>
      <c r="G69" s="4" t="s">
        <v>32</v>
      </c>
      <c r="H69" s="4" t="s">
        <v>72</v>
      </c>
      <c r="I69" s="4" t="s">
        <v>73</v>
      </c>
      <c r="J69" s="12" t="s">
        <v>47</v>
      </c>
      <c r="K69" s="4" t="n">
        <v>4</v>
      </c>
      <c r="L69" s="6" t="n">
        <v>29513.44</v>
      </c>
      <c r="M69" s="7" t="n">
        <v>94</v>
      </c>
    </row>
    <row r="70" customFormat="false" ht="15" hidden="false" customHeight="true" outlineLevel="0" collapsed="false">
      <c r="A70" s="8" t="s">
        <v>224</v>
      </c>
      <c r="B70" s="8" t="s">
        <v>225</v>
      </c>
      <c r="C70" s="8" t="s">
        <v>199</v>
      </c>
      <c r="D70" s="8" t="n">
        <v>48</v>
      </c>
      <c r="E70" s="8" t="s">
        <v>17</v>
      </c>
      <c r="F70" s="8" t="s">
        <v>77</v>
      </c>
      <c r="G70" s="8" t="s">
        <v>64</v>
      </c>
      <c r="H70" s="8" t="s">
        <v>20</v>
      </c>
      <c r="I70" s="8" t="s">
        <v>21</v>
      </c>
      <c r="J70" s="13" t="s">
        <v>56</v>
      </c>
      <c r="K70" s="8" t="n">
        <v>1</v>
      </c>
      <c r="L70" s="9" t="n">
        <v>8906.42</v>
      </c>
      <c r="M70" s="10" t="n">
        <v>100</v>
      </c>
    </row>
    <row r="71" customFormat="false" ht="15" hidden="false" customHeight="true" outlineLevel="0" collapsed="false">
      <c r="A71" s="4" t="s">
        <v>226</v>
      </c>
      <c r="B71" s="4" t="s">
        <v>227</v>
      </c>
      <c r="C71" s="4" t="s">
        <v>228</v>
      </c>
      <c r="D71" s="4" t="n">
        <v>78</v>
      </c>
      <c r="E71" s="4" t="s">
        <v>17</v>
      </c>
      <c r="F71" s="4" t="s">
        <v>50</v>
      </c>
      <c r="G71" s="4" t="s">
        <v>19</v>
      </c>
      <c r="H71" s="4" t="s">
        <v>26</v>
      </c>
      <c r="I71" s="4" t="s">
        <v>27</v>
      </c>
      <c r="J71" s="11" t="s">
        <v>35</v>
      </c>
      <c r="K71" s="4" t="n">
        <v>4</v>
      </c>
      <c r="L71" s="6" t="n">
        <v>67942.16</v>
      </c>
      <c r="M71" s="7" t="n">
        <v>89</v>
      </c>
    </row>
    <row r="72" customFormat="false" ht="15" hidden="false" customHeight="true" outlineLevel="0" collapsed="false">
      <c r="A72" s="8" t="s">
        <v>229</v>
      </c>
      <c r="B72" s="8" t="s">
        <v>230</v>
      </c>
      <c r="C72" s="8" t="s">
        <v>112</v>
      </c>
      <c r="D72" s="8" t="n">
        <v>54</v>
      </c>
      <c r="E72" s="8" t="s">
        <v>17</v>
      </c>
      <c r="F72" s="8" t="s">
        <v>18</v>
      </c>
      <c r="G72" s="8" t="s">
        <v>39</v>
      </c>
      <c r="H72" s="8" t="s">
        <v>20</v>
      </c>
      <c r="I72" s="8" t="s">
        <v>21</v>
      </c>
      <c r="J72" s="13" t="s">
        <v>56</v>
      </c>
      <c r="K72" s="8" t="n">
        <v>4</v>
      </c>
      <c r="L72" s="9" t="n">
        <v>57459.87</v>
      </c>
      <c r="M72" s="10" t="n">
        <v>94</v>
      </c>
    </row>
    <row r="73" customFormat="false" ht="15" hidden="false" customHeight="true" outlineLevel="0" collapsed="false">
      <c r="A73" s="4" t="s">
        <v>231</v>
      </c>
      <c r="B73" s="4" t="s">
        <v>232</v>
      </c>
      <c r="C73" s="4" t="s">
        <v>120</v>
      </c>
      <c r="D73" s="4" t="n">
        <v>67</v>
      </c>
      <c r="E73" s="4" t="s">
        <v>17</v>
      </c>
      <c r="F73" s="4" t="s">
        <v>31</v>
      </c>
      <c r="G73" s="4" t="s">
        <v>39</v>
      </c>
      <c r="H73" s="4" t="s">
        <v>20</v>
      </c>
      <c r="I73" s="4" t="s">
        <v>21</v>
      </c>
      <c r="J73" s="14" t="s">
        <v>65</v>
      </c>
      <c r="K73" s="4" t="n">
        <v>14</v>
      </c>
      <c r="L73" s="6" t="n">
        <v>77354.06</v>
      </c>
      <c r="M73" s="7" t="n">
        <v>73</v>
      </c>
    </row>
    <row r="74" customFormat="false" ht="15" hidden="false" customHeight="true" outlineLevel="0" collapsed="false">
      <c r="A74" s="8" t="s">
        <v>233</v>
      </c>
      <c r="B74" s="8" t="s">
        <v>121</v>
      </c>
      <c r="C74" s="8" t="s">
        <v>25</v>
      </c>
      <c r="D74" s="8" t="n">
        <v>43</v>
      </c>
      <c r="E74" s="8" t="s">
        <v>17</v>
      </c>
      <c r="F74" s="8" t="s">
        <v>31</v>
      </c>
      <c r="G74" s="8" t="s">
        <v>39</v>
      </c>
      <c r="H74" s="8" t="s">
        <v>72</v>
      </c>
      <c r="I74" s="8" t="s">
        <v>73</v>
      </c>
      <c r="J74" s="11" t="s">
        <v>35</v>
      </c>
      <c r="K74" s="8" t="n">
        <v>12</v>
      </c>
      <c r="L74" s="9" t="n">
        <v>10699.74</v>
      </c>
      <c r="M74" s="10" t="n">
        <v>92</v>
      </c>
    </row>
    <row r="75" customFormat="false" ht="15" hidden="false" customHeight="true" outlineLevel="0" collapsed="false">
      <c r="A75" s="4" t="s">
        <v>234</v>
      </c>
      <c r="B75" s="4" t="s">
        <v>235</v>
      </c>
      <c r="C75" s="4" t="s">
        <v>236</v>
      </c>
      <c r="D75" s="4" t="n">
        <v>68</v>
      </c>
      <c r="E75" s="4" t="s">
        <v>17</v>
      </c>
      <c r="F75" s="4" t="s">
        <v>18</v>
      </c>
      <c r="G75" s="4" t="s">
        <v>32</v>
      </c>
      <c r="H75" s="4" t="s">
        <v>20</v>
      </c>
      <c r="I75" s="4" t="s">
        <v>21</v>
      </c>
      <c r="J75" s="13" t="s">
        <v>56</v>
      </c>
      <c r="K75" s="4" t="n">
        <v>10</v>
      </c>
      <c r="L75" s="6" t="n">
        <v>31040.28</v>
      </c>
      <c r="M75" s="7" t="n">
        <v>83</v>
      </c>
    </row>
    <row r="76" customFormat="false" ht="15" hidden="false" customHeight="true" outlineLevel="0" collapsed="false">
      <c r="A76" s="8" t="s">
        <v>237</v>
      </c>
      <c r="B76" s="8" t="s">
        <v>94</v>
      </c>
      <c r="C76" s="8" t="s">
        <v>133</v>
      </c>
      <c r="D76" s="8" t="n">
        <v>72</v>
      </c>
      <c r="E76" s="8" t="s">
        <v>30</v>
      </c>
      <c r="F76" s="8" t="s">
        <v>50</v>
      </c>
      <c r="G76" s="8" t="s">
        <v>19</v>
      </c>
      <c r="H76" s="8" t="s">
        <v>26</v>
      </c>
      <c r="I76" s="8" t="s">
        <v>27</v>
      </c>
      <c r="J76" s="13" t="s">
        <v>56</v>
      </c>
      <c r="K76" s="8" t="n">
        <v>7</v>
      </c>
      <c r="L76" s="9" t="n">
        <v>12915.42</v>
      </c>
      <c r="M76" s="10" t="n">
        <v>100</v>
      </c>
    </row>
    <row r="77" customFormat="false" ht="15" hidden="false" customHeight="true" outlineLevel="0" collapsed="false">
      <c r="A77" s="4" t="s">
        <v>238</v>
      </c>
      <c r="B77" s="4" t="s">
        <v>239</v>
      </c>
      <c r="C77" s="4" t="s">
        <v>240</v>
      </c>
      <c r="D77" s="4" t="n">
        <v>64</v>
      </c>
      <c r="E77" s="4" t="s">
        <v>30</v>
      </c>
      <c r="F77" s="4" t="s">
        <v>81</v>
      </c>
      <c r="G77" s="4" t="s">
        <v>19</v>
      </c>
      <c r="H77" s="4" t="s">
        <v>40</v>
      </c>
      <c r="I77" s="4" t="s">
        <v>41</v>
      </c>
      <c r="J77" s="14" t="s">
        <v>65</v>
      </c>
      <c r="K77" s="4" t="n">
        <v>9</v>
      </c>
      <c r="L77" s="6" t="n">
        <v>25256.18</v>
      </c>
      <c r="M77" s="7" t="n">
        <v>95</v>
      </c>
    </row>
    <row r="78" customFormat="false" ht="15" hidden="false" customHeight="true" outlineLevel="0" collapsed="false">
      <c r="A78" s="8" t="s">
        <v>241</v>
      </c>
      <c r="B78" s="8" t="s">
        <v>242</v>
      </c>
      <c r="C78" s="8" t="s">
        <v>197</v>
      </c>
      <c r="D78" s="8" t="n">
        <v>35</v>
      </c>
      <c r="E78" s="8" t="s">
        <v>30</v>
      </c>
      <c r="F78" s="8" t="s">
        <v>50</v>
      </c>
      <c r="G78" s="8" t="s">
        <v>19</v>
      </c>
      <c r="H78" s="8" t="s">
        <v>51</v>
      </c>
      <c r="I78" s="8" t="s">
        <v>52</v>
      </c>
      <c r="J78" s="13" t="s">
        <v>56</v>
      </c>
      <c r="K78" s="8" t="n">
        <v>6</v>
      </c>
      <c r="L78" s="9" t="n">
        <v>67304.83</v>
      </c>
      <c r="M78" s="10" t="n">
        <v>72</v>
      </c>
    </row>
    <row r="79" customFormat="false" ht="15" hidden="false" customHeight="true" outlineLevel="0" collapsed="false">
      <c r="A79" s="4" t="s">
        <v>243</v>
      </c>
      <c r="B79" s="4" t="s">
        <v>244</v>
      </c>
      <c r="C79" s="4" t="s">
        <v>245</v>
      </c>
      <c r="D79" s="4" t="n">
        <v>57</v>
      </c>
      <c r="E79" s="4" t="s">
        <v>17</v>
      </c>
      <c r="F79" s="4" t="s">
        <v>81</v>
      </c>
      <c r="G79" s="4" t="s">
        <v>60</v>
      </c>
      <c r="H79" s="4" t="s">
        <v>51</v>
      </c>
      <c r="I79" s="4" t="s">
        <v>52</v>
      </c>
      <c r="J79" s="13" t="s">
        <v>56</v>
      </c>
      <c r="K79" s="4" t="n">
        <v>11</v>
      </c>
      <c r="L79" s="6" t="n">
        <v>30229.75</v>
      </c>
      <c r="M79" s="7" t="n">
        <v>85</v>
      </c>
    </row>
    <row r="80" customFormat="false" ht="15" hidden="false" customHeight="true" outlineLevel="0" collapsed="false">
      <c r="A80" s="8" t="s">
        <v>246</v>
      </c>
      <c r="B80" s="8" t="s">
        <v>247</v>
      </c>
      <c r="C80" s="8" t="s">
        <v>248</v>
      </c>
      <c r="D80" s="8" t="n">
        <v>69</v>
      </c>
      <c r="E80" s="8" t="s">
        <v>17</v>
      </c>
      <c r="F80" s="8" t="s">
        <v>18</v>
      </c>
      <c r="G80" s="8" t="s">
        <v>60</v>
      </c>
      <c r="H80" s="8" t="s">
        <v>88</v>
      </c>
      <c r="I80" s="8" t="s">
        <v>89</v>
      </c>
      <c r="J80" s="13" t="s">
        <v>56</v>
      </c>
      <c r="K80" s="8" t="n">
        <v>5</v>
      </c>
      <c r="L80" s="9" t="n">
        <v>25974.39</v>
      </c>
      <c r="M80" s="10" t="n">
        <v>89</v>
      </c>
    </row>
    <row r="81" customFormat="false" ht="15" hidden="false" customHeight="true" outlineLevel="0" collapsed="false">
      <c r="A81" s="4" t="s">
        <v>249</v>
      </c>
      <c r="B81" s="4" t="s">
        <v>250</v>
      </c>
      <c r="C81" s="4" t="s">
        <v>210</v>
      </c>
      <c r="D81" s="4" t="n">
        <v>33</v>
      </c>
      <c r="E81" s="4" t="s">
        <v>30</v>
      </c>
      <c r="F81" s="4" t="s">
        <v>81</v>
      </c>
      <c r="G81" s="4" t="s">
        <v>19</v>
      </c>
      <c r="H81" s="4" t="s">
        <v>20</v>
      </c>
      <c r="I81" s="4" t="s">
        <v>21</v>
      </c>
      <c r="J81" s="11" t="s">
        <v>35</v>
      </c>
      <c r="K81" s="4" t="n">
        <v>12</v>
      </c>
      <c r="L81" s="6" t="n">
        <v>41643.34</v>
      </c>
      <c r="M81" s="7" t="n">
        <v>94</v>
      </c>
    </row>
    <row r="82" customFormat="false" ht="15" hidden="false" customHeight="true" outlineLevel="0" collapsed="false">
      <c r="A82" s="8" t="s">
        <v>251</v>
      </c>
      <c r="B82" s="8" t="s">
        <v>25</v>
      </c>
      <c r="C82" s="8" t="s">
        <v>76</v>
      </c>
      <c r="D82" s="8" t="n">
        <v>23</v>
      </c>
      <c r="E82" s="8" t="s">
        <v>30</v>
      </c>
      <c r="F82" s="8" t="s">
        <v>81</v>
      </c>
      <c r="G82" s="8" t="s">
        <v>39</v>
      </c>
      <c r="H82" s="8" t="s">
        <v>26</v>
      </c>
      <c r="I82" s="8" t="s">
        <v>27</v>
      </c>
      <c r="J82" s="13" t="s">
        <v>56</v>
      </c>
      <c r="K82" s="8" t="n">
        <v>5</v>
      </c>
      <c r="L82" s="9" t="n">
        <v>35330.08</v>
      </c>
      <c r="M82" s="10" t="n">
        <v>77</v>
      </c>
    </row>
    <row r="83" customFormat="false" ht="15" hidden="false" customHeight="true" outlineLevel="0" collapsed="false">
      <c r="A83" s="4" t="s">
        <v>252</v>
      </c>
      <c r="B83" s="4" t="s">
        <v>253</v>
      </c>
      <c r="C83" s="4" t="s">
        <v>145</v>
      </c>
      <c r="D83" s="4" t="n">
        <v>40</v>
      </c>
      <c r="E83" s="4" t="s">
        <v>30</v>
      </c>
      <c r="F83" s="4" t="s">
        <v>31</v>
      </c>
      <c r="G83" s="4" t="s">
        <v>32</v>
      </c>
      <c r="H83" s="4" t="s">
        <v>101</v>
      </c>
      <c r="I83" s="4" t="s">
        <v>102</v>
      </c>
      <c r="J83" s="12" t="s">
        <v>47</v>
      </c>
      <c r="K83" s="4" t="n">
        <v>7</v>
      </c>
      <c r="L83" s="6" t="n">
        <v>29809.35</v>
      </c>
      <c r="M83" s="7" t="n">
        <v>92</v>
      </c>
    </row>
    <row r="84" customFormat="false" ht="15" hidden="false" customHeight="true" outlineLevel="0" collapsed="false">
      <c r="A84" s="8" t="s">
        <v>254</v>
      </c>
      <c r="B84" s="8" t="s">
        <v>255</v>
      </c>
      <c r="C84" s="8" t="s">
        <v>256</v>
      </c>
      <c r="D84" s="8" t="n">
        <v>25</v>
      </c>
      <c r="E84" s="8" t="s">
        <v>17</v>
      </c>
      <c r="F84" s="8" t="s">
        <v>50</v>
      </c>
      <c r="G84" s="8" t="s">
        <v>60</v>
      </c>
      <c r="H84" s="8" t="s">
        <v>33</v>
      </c>
      <c r="I84" s="8" t="s">
        <v>34</v>
      </c>
      <c r="J84" s="14" t="s">
        <v>65</v>
      </c>
      <c r="K84" s="8" t="n">
        <v>12</v>
      </c>
      <c r="L84" s="9" t="n">
        <v>28666.1</v>
      </c>
      <c r="M84" s="10" t="n">
        <v>93</v>
      </c>
    </row>
    <row r="85" customFormat="false" ht="15" hidden="false" customHeight="true" outlineLevel="0" collapsed="false">
      <c r="A85" s="4" t="s">
        <v>257</v>
      </c>
      <c r="B85" s="4" t="s">
        <v>258</v>
      </c>
      <c r="C85" s="4" t="s">
        <v>259</v>
      </c>
      <c r="D85" s="4" t="n">
        <v>35</v>
      </c>
      <c r="E85" s="4" t="s">
        <v>30</v>
      </c>
      <c r="F85" s="4" t="s">
        <v>77</v>
      </c>
      <c r="G85" s="4" t="s">
        <v>60</v>
      </c>
      <c r="H85" s="4" t="s">
        <v>114</v>
      </c>
      <c r="I85" s="4" t="s">
        <v>115</v>
      </c>
      <c r="J85" s="14" t="s">
        <v>65</v>
      </c>
      <c r="K85" s="4" t="n">
        <v>12</v>
      </c>
      <c r="L85" s="6" t="n">
        <v>78245.53</v>
      </c>
      <c r="M85" s="7" t="n">
        <v>86</v>
      </c>
    </row>
    <row r="86" customFormat="false" ht="15" hidden="false" customHeight="true" outlineLevel="0" collapsed="false">
      <c r="A86" s="8" t="s">
        <v>260</v>
      </c>
      <c r="B86" s="8" t="s">
        <v>261</v>
      </c>
      <c r="C86" s="8" t="s">
        <v>120</v>
      </c>
      <c r="D86" s="8" t="n">
        <v>32</v>
      </c>
      <c r="E86" s="8" t="s">
        <v>17</v>
      </c>
      <c r="F86" s="8" t="s">
        <v>31</v>
      </c>
      <c r="G86" s="8" t="s">
        <v>64</v>
      </c>
      <c r="H86" s="8" t="s">
        <v>45</v>
      </c>
      <c r="I86" s="8" t="s">
        <v>46</v>
      </c>
      <c r="J86" s="14" t="s">
        <v>65</v>
      </c>
      <c r="K86" s="8" t="n">
        <v>6</v>
      </c>
      <c r="L86" s="9" t="n">
        <v>27670.07</v>
      </c>
      <c r="M86" s="10" t="n">
        <v>92</v>
      </c>
    </row>
    <row r="87" customFormat="false" ht="15" hidden="false" customHeight="true" outlineLevel="0" collapsed="false">
      <c r="A87" s="4" t="s">
        <v>262</v>
      </c>
      <c r="B87" s="4" t="s">
        <v>263</v>
      </c>
      <c r="C87" s="4" t="s">
        <v>264</v>
      </c>
      <c r="D87" s="4" t="n">
        <v>53</v>
      </c>
      <c r="E87" s="4" t="s">
        <v>17</v>
      </c>
      <c r="F87" s="4" t="s">
        <v>77</v>
      </c>
      <c r="G87" s="4" t="s">
        <v>39</v>
      </c>
      <c r="H87" s="4" t="s">
        <v>26</v>
      </c>
      <c r="I87" s="4" t="s">
        <v>27</v>
      </c>
      <c r="J87" s="12" t="s">
        <v>47</v>
      </c>
      <c r="K87" s="4" t="n">
        <v>5</v>
      </c>
      <c r="L87" s="6" t="n">
        <v>75806.72</v>
      </c>
      <c r="M87" s="7" t="n">
        <v>90</v>
      </c>
    </row>
    <row r="88" customFormat="false" ht="15" hidden="false" customHeight="true" outlineLevel="0" collapsed="false">
      <c r="A88" s="8" t="s">
        <v>265</v>
      </c>
      <c r="B88" s="8" t="s">
        <v>266</v>
      </c>
      <c r="C88" s="8" t="s">
        <v>267</v>
      </c>
      <c r="D88" s="8" t="n">
        <v>48</v>
      </c>
      <c r="E88" s="8" t="s">
        <v>30</v>
      </c>
      <c r="F88" s="8" t="s">
        <v>81</v>
      </c>
      <c r="G88" s="8" t="s">
        <v>64</v>
      </c>
      <c r="H88" s="8" t="s">
        <v>45</v>
      </c>
      <c r="I88" s="8" t="s">
        <v>46</v>
      </c>
      <c r="J88" s="5" t="s">
        <v>22</v>
      </c>
      <c r="K88" s="8" t="n">
        <v>8</v>
      </c>
      <c r="L88" s="9" t="n">
        <v>30552.94</v>
      </c>
      <c r="M88" s="10" t="n">
        <v>100</v>
      </c>
    </row>
    <row r="89" customFormat="false" ht="15" hidden="false" customHeight="true" outlineLevel="0" collapsed="false">
      <c r="A89" s="4" t="s">
        <v>268</v>
      </c>
      <c r="B89" s="4" t="s">
        <v>269</v>
      </c>
      <c r="C89" s="4" t="s">
        <v>270</v>
      </c>
      <c r="D89" s="4" t="n">
        <v>43</v>
      </c>
      <c r="E89" s="4" t="s">
        <v>17</v>
      </c>
      <c r="F89" s="4" t="s">
        <v>50</v>
      </c>
      <c r="G89" s="4" t="s">
        <v>39</v>
      </c>
      <c r="H89" s="4" t="s">
        <v>20</v>
      </c>
      <c r="I89" s="4" t="s">
        <v>21</v>
      </c>
      <c r="J89" s="5" t="s">
        <v>22</v>
      </c>
      <c r="K89" s="4" t="n">
        <v>8</v>
      </c>
      <c r="L89" s="6" t="n">
        <v>48276.59</v>
      </c>
      <c r="M89" s="7" t="n">
        <v>91</v>
      </c>
    </row>
    <row r="90" customFormat="false" ht="15" hidden="false" customHeight="true" outlineLevel="0" collapsed="false">
      <c r="A90" s="8" t="s">
        <v>271</v>
      </c>
      <c r="B90" s="8" t="s">
        <v>272</v>
      </c>
      <c r="C90" s="8" t="s">
        <v>273</v>
      </c>
      <c r="D90" s="8" t="n">
        <v>23</v>
      </c>
      <c r="E90" s="8" t="s">
        <v>17</v>
      </c>
      <c r="F90" s="8" t="s">
        <v>18</v>
      </c>
      <c r="G90" s="8" t="s">
        <v>19</v>
      </c>
      <c r="H90" s="8" t="s">
        <v>45</v>
      </c>
      <c r="I90" s="8" t="s">
        <v>46</v>
      </c>
      <c r="J90" s="14" t="s">
        <v>65</v>
      </c>
      <c r="K90" s="8" t="n">
        <v>4</v>
      </c>
      <c r="L90" s="9" t="n">
        <v>46855.48</v>
      </c>
      <c r="M90" s="10" t="n">
        <v>83</v>
      </c>
    </row>
    <row r="91" customFormat="false" ht="15" hidden="false" customHeight="true" outlineLevel="0" collapsed="false">
      <c r="A91" s="4" t="s">
        <v>274</v>
      </c>
      <c r="B91" s="4" t="s">
        <v>16</v>
      </c>
      <c r="C91" s="4" t="s">
        <v>275</v>
      </c>
      <c r="D91" s="4" t="n">
        <v>76</v>
      </c>
      <c r="E91" s="4" t="s">
        <v>17</v>
      </c>
      <c r="F91" s="4" t="s">
        <v>18</v>
      </c>
      <c r="G91" s="4" t="s">
        <v>64</v>
      </c>
      <c r="H91" s="4" t="s">
        <v>114</v>
      </c>
      <c r="I91" s="4" t="s">
        <v>115</v>
      </c>
      <c r="J91" s="13" t="s">
        <v>56</v>
      </c>
      <c r="K91" s="4" t="n">
        <v>8</v>
      </c>
      <c r="L91" s="6" t="n">
        <v>69512.5</v>
      </c>
      <c r="M91" s="7" t="n">
        <v>83</v>
      </c>
    </row>
    <row r="92" customFormat="false" ht="15" hidden="false" customHeight="true" outlineLevel="0" collapsed="false">
      <c r="A92" s="8" t="s">
        <v>276</v>
      </c>
      <c r="B92" s="8" t="s">
        <v>176</v>
      </c>
      <c r="C92" s="8" t="s">
        <v>277</v>
      </c>
      <c r="D92" s="8" t="n">
        <v>58</v>
      </c>
      <c r="E92" s="8" t="s">
        <v>17</v>
      </c>
      <c r="F92" s="8" t="s">
        <v>18</v>
      </c>
      <c r="G92" s="8" t="s">
        <v>64</v>
      </c>
      <c r="H92" s="8" t="s">
        <v>33</v>
      </c>
      <c r="I92" s="8" t="s">
        <v>34</v>
      </c>
      <c r="J92" s="11" t="s">
        <v>35</v>
      </c>
      <c r="K92" s="8" t="n">
        <v>4</v>
      </c>
      <c r="L92" s="9" t="n">
        <v>54532.11</v>
      </c>
      <c r="M92" s="10" t="n">
        <v>75</v>
      </c>
    </row>
    <row r="93" customFormat="false" ht="15" hidden="false" customHeight="true" outlineLevel="0" collapsed="false">
      <c r="A93" s="4" t="s">
        <v>278</v>
      </c>
      <c r="B93" s="4" t="s">
        <v>279</v>
      </c>
      <c r="C93" s="4" t="s">
        <v>280</v>
      </c>
      <c r="D93" s="4" t="n">
        <v>18</v>
      </c>
      <c r="E93" s="4" t="s">
        <v>17</v>
      </c>
      <c r="F93" s="4" t="s">
        <v>50</v>
      </c>
      <c r="G93" s="4" t="s">
        <v>32</v>
      </c>
      <c r="H93" s="4" t="s">
        <v>40</v>
      </c>
      <c r="I93" s="4" t="s">
        <v>41</v>
      </c>
      <c r="J93" s="13" t="s">
        <v>56</v>
      </c>
      <c r="K93" s="4" t="n">
        <v>7</v>
      </c>
      <c r="L93" s="6" t="n">
        <v>56702.84</v>
      </c>
      <c r="M93" s="7" t="n">
        <v>85</v>
      </c>
    </row>
    <row r="94" customFormat="false" ht="15" hidden="false" customHeight="true" outlineLevel="0" collapsed="false">
      <c r="A94" s="8" t="s">
        <v>281</v>
      </c>
      <c r="B94" s="8" t="s">
        <v>223</v>
      </c>
      <c r="C94" s="8" t="s">
        <v>282</v>
      </c>
      <c r="D94" s="8" t="n">
        <v>62</v>
      </c>
      <c r="E94" s="8" t="s">
        <v>17</v>
      </c>
      <c r="F94" s="8" t="s">
        <v>81</v>
      </c>
      <c r="G94" s="8" t="s">
        <v>64</v>
      </c>
      <c r="H94" s="8" t="s">
        <v>45</v>
      </c>
      <c r="I94" s="8" t="s">
        <v>46</v>
      </c>
      <c r="J94" s="13" t="s">
        <v>56</v>
      </c>
      <c r="K94" s="8" t="n">
        <v>14</v>
      </c>
      <c r="L94" s="9" t="n">
        <v>10338.48</v>
      </c>
      <c r="M94" s="10" t="n">
        <v>77</v>
      </c>
    </row>
    <row r="95" customFormat="false" ht="15" hidden="false" customHeight="true" outlineLevel="0" collapsed="false">
      <c r="A95" s="4" t="s">
        <v>283</v>
      </c>
      <c r="B95" s="4" t="s">
        <v>284</v>
      </c>
      <c r="C95" s="4" t="s">
        <v>285</v>
      </c>
      <c r="D95" s="4" t="n">
        <v>32</v>
      </c>
      <c r="E95" s="4" t="s">
        <v>17</v>
      </c>
      <c r="F95" s="4" t="s">
        <v>77</v>
      </c>
      <c r="G95" s="4" t="s">
        <v>60</v>
      </c>
      <c r="H95" s="4" t="s">
        <v>101</v>
      </c>
      <c r="I95" s="4" t="s">
        <v>102</v>
      </c>
      <c r="J95" s="11" t="s">
        <v>35</v>
      </c>
      <c r="K95" s="4" t="n">
        <v>11</v>
      </c>
      <c r="L95" s="6" t="n">
        <v>73130.86</v>
      </c>
      <c r="M95" s="7" t="n">
        <v>96</v>
      </c>
    </row>
    <row r="96" customFormat="false" ht="15" hidden="false" customHeight="true" outlineLevel="0" collapsed="false">
      <c r="A96" s="8" t="s">
        <v>286</v>
      </c>
      <c r="B96" s="8" t="s">
        <v>287</v>
      </c>
      <c r="C96" s="8" t="s">
        <v>288</v>
      </c>
      <c r="D96" s="8" t="n">
        <v>56</v>
      </c>
      <c r="E96" s="8" t="s">
        <v>30</v>
      </c>
      <c r="F96" s="8" t="s">
        <v>31</v>
      </c>
      <c r="G96" s="8" t="s">
        <v>19</v>
      </c>
      <c r="H96" s="8" t="s">
        <v>45</v>
      </c>
      <c r="I96" s="8" t="s">
        <v>46</v>
      </c>
      <c r="J96" s="5" t="s">
        <v>22</v>
      </c>
      <c r="K96" s="8" t="n">
        <v>12</v>
      </c>
      <c r="L96" s="9" t="n">
        <v>74089.44</v>
      </c>
      <c r="M96" s="10" t="n">
        <v>84</v>
      </c>
    </row>
    <row r="97" customFormat="false" ht="15" hidden="false" customHeight="true" outlineLevel="0" collapsed="false">
      <c r="A97" s="4" t="s">
        <v>289</v>
      </c>
      <c r="B97" s="4" t="s">
        <v>290</v>
      </c>
      <c r="C97" s="4" t="s">
        <v>189</v>
      </c>
      <c r="D97" s="4" t="n">
        <v>50</v>
      </c>
      <c r="E97" s="4" t="s">
        <v>30</v>
      </c>
      <c r="F97" s="4" t="s">
        <v>31</v>
      </c>
      <c r="G97" s="4" t="s">
        <v>39</v>
      </c>
      <c r="H97" s="4" t="s">
        <v>45</v>
      </c>
      <c r="I97" s="4" t="s">
        <v>46</v>
      </c>
      <c r="J97" s="5" t="s">
        <v>22</v>
      </c>
      <c r="K97" s="4" t="n">
        <v>9</v>
      </c>
      <c r="L97" s="6" t="n">
        <v>37831.91</v>
      </c>
      <c r="M97" s="7" t="n">
        <v>89</v>
      </c>
    </row>
    <row r="98" customFormat="false" ht="15" hidden="false" customHeight="true" outlineLevel="0" collapsed="false">
      <c r="A98" s="8" t="s">
        <v>291</v>
      </c>
      <c r="B98" s="8" t="s">
        <v>292</v>
      </c>
      <c r="C98" s="8" t="s">
        <v>293</v>
      </c>
      <c r="D98" s="8" t="n">
        <v>19</v>
      </c>
      <c r="E98" s="8" t="s">
        <v>17</v>
      </c>
      <c r="F98" s="8" t="s">
        <v>31</v>
      </c>
      <c r="G98" s="8" t="s">
        <v>39</v>
      </c>
      <c r="H98" s="8" t="s">
        <v>45</v>
      </c>
      <c r="I98" s="8" t="s">
        <v>46</v>
      </c>
      <c r="J98" s="14" t="s">
        <v>65</v>
      </c>
      <c r="K98" s="8" t="n">
        <v>2</v>
      </c>
      <c r="L98" s="9" t="n">
        <v>77143.33</v>
      </c>
      <c r="M98" s="10" t="n">
        <v>96</v>
      </c>
    </row>
    <row r="99" customFormat="false" ht="15" hidden="false" customHeight="true" outlineLevel="0" collapsed="false">
      <c r="A99" s="4" t="s">
        <v>294</v>
      </c>
      <c r="B99" s="4" t="s">
        <v>295</v>
      </c>
      <c r="C99" s="4" t="s">
        <v>227</v>
      </c>
      <c r="D99" s="4" t="n">
        <v>66</v>
      </c>
      <c r="E99" s="4" t="s">
        <v>30</v>
      </c>
      <c r="F99" s="4" t="s">
        <v>50</v>
      </c>
      <c r="G99" s="4" t="s">
        <v>39</v>
      </c>
      <c r="H99" s="4" t="s">
        <v>26</v>
      </c>
      <c r="I99" s="4" t="s">
        <v>27</v>
      </c>
      <c r="J99" s="12" t="s">
        <v>47</v>
      </c>
      <c r="K99" s="4" t="n">
        <v>13</v>
      </c>
      <c r="L99" s="6" t="n">
        <v>40287.56</v>
      </c>
      <c r="M99" s="7" t="n">
        <v>90</v>
      </c>
    </row>
    <row r="100" customFormat="false" ht="15" hidden="false" customHeight="true" outlineLevel="0" collapsed="false">
      <c r="A100" s="8" t="s">
        <v>296</v>
      </c>
      <c r="B100" s="8" t="s">
        <v>297</v>
      </c>
      <c r="C100" s="8" t="s">
        <v>134</v>
      </c>
      <c r="D100" s="8" t="n">
        <v>58</v>
      </c>
      <c r="E100" s="8" t="s">
        <v>30</v>
      </c>
      <c r="F100" s="8" t="s">
        <v>31</v>
      </c>
      <c r="G100" s="8" t="s">
        <v>32</v>
      </c>
      <c r="H100" s="8" t="s">
        <v>72</v>
      </c>
      <c r="I100" s="8" t="s">
        <v>73</v>
      </c>
      <c r="J100" s="13" t="s">
        <v>56</v>
      </c>
      <c r="K100" s="8" t="n">
        <v>14</v>
      </c>
      <c r="L100" s="9" t="n">
        <v>77679.14</v>
      </c>
      <c r="M100" s="10" t="n">
        <v>85</v>
      </c>
    </row>
    <row r="101" customFormat="false" ht="15" hidden="false" customHeight="true" outlineLevel="0" collapsed="false">
      <c r="A101" s="4" t="s">
        <v>298</v>
      </c>
      <c r="B101" s="4" t="s">
        <v>299</v>
      </c>
      <c r="C101" s="4" t="s">
        <v>300</v>
      </c>
      <c r="D101" s="4" t="n">
        <v>72</v>
      </c>
      <c r="E101" s="4" t="s">
        <v>30</v>
      </c>
      <c r="F101" s="4" t="s">
        <v>18</v>
      </c>
      <c r="G101" s="4" t="s">
        <v>64</v>
      </c>
      <c r="H101" s="4" t="s">
        <v>20</v>
      </c>
      <c r="I101" s="4" t="s">
        <v>21</v>
      </c>
      <c r="J101" s="13" t="s">
        <v>56</v>
      </c>
      <c r="K101" s="4" t="n">
        <v>3</v>
      </c>
      <c r="L101" s="6" t="n">
        <v>35873.38</v>
      </c>
      <c r="M101" s="7" t="n">
        <v>85</v>
      </c>
    </row>
    <row r="102" customFormat="false" ht="15" hidden="false" customHeight="true" outlineLevel="0" collapsed="false">
      <c r="A102" s="8" t="s">
        <v>301</v>
      </c>
      <c r="B102" s="8" t="s">
        <v>302</v>
      </c>
      <c r="C102" s="8" t="s">
        <v>176</v>
      </c>
      <c r="D102" s="8" t="n">
        <v>23</v>
      </c>
      <c r="E102" s="8" t="s">
        <v>17</v>
      </c>
      <c r="F102" s="8" t="s">
        <v>18</v>
      </c>
      <c r="G102" s="8" t="s">
        <v>19</v>
      </c>
      <c r="H102" s="8" t="s">
        <v>114</v>
      </c>
      <c r="I102" s="8" t="s">
        <v>115</v>
      </c>
      <c r="J102" s="12" t="s">
        <v>47</v>
      </c>
      <c r="K102" s="8" t="n">
        <v>6</v>
      </c>
      <c r="L102" s="9" t="n">
        <v>29245.53</v>
      </c>
      <c r="M102" s="10" t="n">
        <v>94</v>
      </c>
    </row>
    <row r="103" customFormat="false" ht="15" hidden="false" customHeight="true" outlineLevel="0" collapsed="false">
      <c r="A103" s="4" t="s">
        <v>303</v>
      </c>
      <c r="B103" s="4" t="s">
        <v>134</v>
      </c>
      <c r="C103" s="4" t="s">
        <v>304</v>
      </c>
      <c r="D103" s="4" t="n">
        <v>21</v>
      </c>
      <c r="E103" s="4" t="s">
        <v>30</v>
      </c>
      <c r="F103" s="4" t="s">
        <v>77</v>
      </c>
      <c r="G103" s="4" t="s">
        <v>60</v>
      </c>
      <c r="H103" s="4" t="s">
        <v>72</v>
      </c>
      <c r="I103" s="4" t="s">
        <v>73</v>
      </c>
      <c r="J103" s="12" t="s">
        <v>47</v>
      </c>
      <c r="K103" s="4" t="n">
        <v>4</v>
      </c>
      <c r="L103" s="6" t="n">
        <v>32133.45</v>
      </c>
      <c r="M103" s="7" t="n">
        <v>94</v>
      </c>
    </row>
    <row r="104" customFormat="false" ht="15" hidden="false" customHeight="true" outlineLevel="0" collapsed="false">
      <c r="A104" s="8" t="s">
        <v>305</v>
      </c>
      <c r="B104" s="8" t="s">
        <v>306</v>
      </c>
      <c r="C104" s="8" t="s">
        <v>307</v>
      </c>
      <c r="D104" s="8" t="n">
        <v>53</v>
      </c>
      <c r="E104" s="8" t="s">
        <v>17</v>
      </c>
      <c r="F104" s="8" t="s">
        <v>77</v>
      </c>
      <c r="G104" s="8" t="s">
        <v>39</v>
      </c>
      <c r="H104" s="8" t="s">
        <v>45</v>
      </c>
      <c r="I104" s="8" t="s">
        <v>46</v>
      </c>
      <c r="J104" s="12" t="s">
        <v>47</v>
      </c>
      <c r="K104" s="8" t="n">
        <v>3</v>
      </c>
      <c r="L104" s="9" t="n">
        <v>37858.71</v>
      </c>
      <c r="M104" s="10" t="n">
        <v>92</v>
      </c>
    </row>
    <row r="105" customFormat="false" ht="15" hidden="false" customHeight="true" outlineLevel="0" collapsed="false">
      <c r="A105" s="4" t="s">
        <v>308</v>
      </c>
      <c r="B105" s="4" t="s">
        <v>309</v>
      </c>
      <c r="C105" s="4" t="s">
        <v>68</v>
      </c>
      <c r="D105" s="4" t="n">
        <v>63</v>
      </c>
      <c r="E105" s="4" t="s">
        <v>17</v>
      </c>
      <c r="F105" s="4" t="s">
        <v>50</v>
      </c>
      <c r="G105" s="4" t="s">
        <v>64</v>
      </c>
      <c r="H105" s="4" t="s">
        <v>33</v>
      </c>
      <c r="I105" s="4" t="s">
        <v>34</v>
      </c>
      <c r="J105" s="12" t="s">
        <v>47</v>
      </c>
      <c r="K105" s="4" t="n">
        <v>3</v>
      </c>
      <c r="L105" s="6" t="n">
        <v>46312.93</v>
      </c>
      <c r="M105" s="7" t="n">
        <v>87</v>
      </c>
    </row>
    <row r="106" customFormat="false" ht="15" hidden="false" customHeight="true" outlineLevel="0" collapsed="false">
      <c r="A106" s="8" t="s">
        <v>310</v>
      </c>
      <c r="B106" s="8" t="s">
        <v>311</v>
      </c>
      <c r="C106" s="8" t="s">
        <v>239</v>
      </c>
      <c r="D106" s="8" t="n">
        <v>78</v>
      </c>
      <c r="E106" s="8" t="s">
        <v>30</v>
      </c>
      <c r="F106" s="8" t="s">
        <v>81</v>
      </c>
      <c r="G106" s="8" t="s">
        <v>19</v>
      </c>
      <c r="H106" s="8" t="s">
        <v>114</v>
      </c>
      <c r="I106" s="8" t="s">
        <v>115</v>
      </c>
      <c r="J106" s="13" t="s">
        <v>56</v>
      </c>
      <c r="K106" s="8" t="n">
        <v>2</v>
      </c>
      <c r="L106" s="9" t="n">
        <v>67410.74</v>
      </c>
      <c r="M106" s="10" t="n">
        <v>85</v>
      </c>
    </row>
    <row r="107" customFormat="false" ht="15" hidden="false" customHeight="true" outlineLevel="0" collapsed="false">
      <c r="A107" s="4" t="s">
        <v>312</v>
      </c>
      <c r="B107" s="4" t="s">
        <v>313</v>
      </c>
      <c r="C107" s="4" t="s">
        <v>314</v>
      </c>
      <c r="D107" s="4" t="n">
        <v>33</v>
      </c>
      <c r="E107" s="4" t="s">
        <v>17</v>
      </c>
      <c r="F107" s="4" t="s">
        <v>77</v>
      </c>
      <c r="G107" s="4" t="s">
        <v>32</v>
      </c>
      <c r="H107" s="4" t="s">
        <v>114</v>
      </c>
      <c r="I107" s="4" t="s">
        <v>115</v>
      </c>
      <c r="J107" s="14" t="s">
        <v>65</v>
      </c>
      <c r="K107" s="4" t="n">
        <v>8</v>
      </c>
      <c r="L107" s="6" t="n">
        <v>15848.15</v>
      </c>
      <c r="M107" s="7" t="n">
        <v>76</v>
      </c>
    </row>
    <row r="108" customFormat="false" ht="15" hidden="false" customHeight="true" outlineLevel="0" collapsed="false">
      <c r="A108" s="8" t="s">
        <v>315</v>
      </c>
      <c r="B108" s="8" t="s">
        <v>91</v>
      </c>
      <c r="C108" s="8" t="s">
        <v>316</v>
      </c>
      <c r="D108" s="8" t="n">
        <v>39</v>
      </c>
      <c r="E108" s="8" t="s">
        <v>30</v>
      </c>
      <c r="F108" s="8" t="s">
        <v>18</v>
      </c>
      <c r="G108" s="8" t="s">
        <v>39</v>
      </c>
      <c r="H108" s="8" t="s">
        <v>72</v>
      </c>
      <c r="I108" s="8" t="s">
        <v>73</v>
      </c>
      <c r="J108" s="13" t="s">
        <v>56</v>
      </c>
      <c r="K108" s="8" t="n">
        <v>13</v>
      </c>
      <c r="L108" s="9" t="n">
        <v>25037.95</v>
      </c>
      <c r="M108" s="10" t="n">
        <v>70</v>
      </c>
    </row>
    <row r="109" customFormat="false" ht="15" hidden="false" customHeight="true" outlineLevel="0" collapsed="false">
      <c r="A109" s="4" t="s">
        <v>317</v>
      </c>
      <c r="B109" s="4" t="s">
        <v>124</v>
      </c>
      <c r="C109" s="4" t="s">
        <v>104</v>
      </c>
      <c r="D109" s="4" t="n">
        <v>73</v>
      </c>
      <c r="E109" s="4" t="s">
        <v>30</v>
      </c>
      <c r="F109" s="4" t="s">
        <v>81</v>
      </c>
      <c r="G109" s="4" t="s">
        <v>32</v>
      </c>
      <c r="H109" s="4" t="s">
        <v>114</v>
      </c>
      <c r="I109" s="4" t="s">
        <v>115</v>
      </c>
      <c r="J109" s="13" t="s">
        <v>56</v>
      </c>
      <c r="K109" s="4" t="n">
        <v>3</v>
      </c>
      <c r="L109" s="6" t="n">
        <v>45393.54</v>
      </c>
      <c r="M109" s="7" t="n">
        <v>81</v>
      </c>
    </row>
    <row r="110" customFormat="false" ht="15" hidden="false" customHeight="true" outlineLevel="0" collapsed="false">
      <c r="A110" s="8" t="s">
        <v>318</v>
      </c>
      <c r="B110" s="8" t="s">
        <v>107</v>
      </c>
      <c r="C110" s="8" t="s">
        <v>319</v>
      </c>
      <c r="D110" s="8" t="n">
        <v>80</v>
      </c>
      <c r="E110" s="8" t="s">
        <v>17</v>
      </c>
      <c r="F110" s="8" t="s">
        <v>31</v>
      </c>
      <c r="G110" s="8" t="s">
        <v>19</v>
      </c>
      <c r="H110" s="8" t="s">
        <v>33</v>
      </c>
      <c r="I110" s="8" t="s">
        <v>34</v>
      </c>
      <c r="J110" s="12" t="s">
        <v>47</v>
      </c>
      <c r="K110" s="8" t="n">
        <v>12</v>
      </c>
      <c r="L110" s="9" t="n">
        <v>47884.82</v>
      </c>
      <c r="M110" s="10" t="n">
        <v>77</v>
      </c>
    </row>
    <row r="111" customFormat="false" ht="15" hidden="false" customHeight="true" outlineLevel="0" collapsed="false">
      <c r="A111" s="4" t="s">
        <v>320</v>
      </c>
      <c r="B111" s="4" t="s">
        <v>239</v>
      </c>
      <c r="C111" s="4" t="s">
        <v>321</v>
      </c>
      <c r="D111" s="4" t="n">
        <v>42</v>
      </c>
      <c r="E111" s="4" t="s">
        <v>17</v>
      </c>
      <c r="F111" s="4" t="s">
        <v>18</v>
      </c>
      <c r="G111" s="4" t="s">
        <v>39</v>
      </c>
      <c r="H111" s="4" t="s">
        <v>72</v>
      </c>
      <c r="I111" s="4" t="s">
        <v>73</v>
      </c>
      <c r="J111" s="5" t="s">
        <v>22</v>
      </c>
      <c r="K111" s="4" t="n">
        <v>11</v>
      </c>
      <c r="L111" s="6" t="n">
        <v>78561.36</v>
      </c>
      <c r="M111" s="7" t="n">
        <v>85</v>
      </c>
    </row>
    <row r="112" customFormat="false" ht="15" hidden="false" customHeight="true" outlineLevel="0" collapsed="false">
      <c r="A112" s="8" t="s">
        <v>322</v>
      </c>
      <c r="B112" s="8" t="s">
        <v>266</v>
      </c>
      <c r="C112" s="8" t="s">
        <v>87</v>
      </c>
      <c r="D112" s="8" t="n">
        <v>73</v>
      </c>
      <c r="E112" s="8" t="s">
        <v>17</v>
      </c>
      <c r="F112" s="8" t="s">
        <v>50</v>
      </c>
      <c r="G112" s="8" t="s">
        <v>19</v>
      </c>
      <c r="H112" s="8" t="s">
        <v>88</v>
      </c>
      <c r="I112" s="8" t="s">
        <v>89</v>
      </c>
      <c r="J112" s="12" t="s">
        <v>47</v>
      </c>
      <c r="K112" s="8" t="n">
        <v>2</v>
      </c>
      <c r="L112" s="9" t="n">
        <v>12478.38</v>
      </c>
      <c r="M112" s="10" t="n">
        <v>99</v>
      </c>
    </row>
    <row r="113" customFormat="false" ht="15" hidden="false" customHeight="true" outlineLevel="0" collapsed="false">
      <c r="A113" s="4" t="s">
        <v>323</v>
      </c>
      <c r="B113" s="4" t="s">
        <v>176</v>
      </c>
      <c r="C113" s="4" t="s">
        <v>324</v>
      </c>
      <c r="D113" s="4" t="n">
        <v>22</v>
      </c>
      <c r="E113" s="4" t="s">
        <v>17</v>
      </c>
      <c r="F113" s="4" t="s">
        <v>31</v>
      </c>
      <c r="G113" s="4" t="s">
        <v>39</v>
      </c>
      <c r="H113" s="4" t="s">
        <v>40</v>
      </c>
      <c r="I113" s="4" t="s">
        <v>41</v>
      </c>
      <c r="J113" s="12" t="s">
        <v>47</v>
      </c>
      <c r="K113" s="4" t="n">
        <v>8</v>
      </c>
      <c r="L113" s="6" t="n">
        <v>30392.09</v>
      </c>
      <c r="M113" s="7" t="n">
        <v>92</v>
      </c>
    </row>
    <row r="114" customFormat="false" ht="15" hidden="false" customHeight="true" outlineLevel="0" collapsed="false">
      <c r="A114" s="8" t="s">
        <v>325</v>
      </c>
      <c r="B114" s="8" t="s">
        <v>194</v>
      </c>
      <c r="C114" s="8" t="s">
        <v>326</v>
      </c>
      <c r="D114" s="8" t="n">
        <v>79</v>
      </c>
      <c r="E114" s="8" t="s">
        <v>17</v>
      </c>
      <c r="F114" s="8" t="s">
        <v>18</v>
      </c>
      <c r="G114" s="8" t="s">
        <v>64</v>
      </c>
      <c r="H114" s="8" t="s">
        <v>72</v>
      </c>
      <c r="I114" s="8" t="s">
        <v>73</v>
      </c>
      <c r="J114" s="12" t="s">
        <v>47</v>
      </c>
      <c r="K114" s="8" t="n">
        <v>6</v>
      </c>
      <c r="L114" s="9" t="n">
        <v>58903.81</v>
      </c>
      <c r="M114" s="10" t="n">
        <v>94</v>
      </c>
    </row>
    <row r="115" customFormat="false" ht="15" hidden="false" customHeight="true" outlineLevel="0" collapsed="false">
      <c r="A115" s="4" t="s">
        <v>327</v>
      </c>
      <c r="B115" s="4" t="s">
        <v>306</v>
      </c>
      <c r="C115" s="4" t="s">
        <v>328</v>
      </c>
      <c r="D115" s="4" t="n">
        <v>58</v>
      </c>
      <c r="E115" s="4" t="s">
        <v>30</v>
      </c>
      <c r="F115" s="4" t="s">
        <v>77</v>
      </c>
      <c r="G115" s="4" t="s">
        <v>64</v>
      </c>
      <c r="H115" s="4" t="s">
        <v>33</v>
      </c>
      <c r="I115" s="4" t="s">
        <v>34</v>
      </c>
      <c r="J115" s="5" t="s">
        <v>22</v>
      </c>
      <c r="K115" s="4" t="n">
        <v>11</v>
      </c>
      <c r="L115" s="6" t="n">
        <v>79806.94</v>
      </c>
      <c r="M115" s="7" t="n">
        <v>93</v>
      </c>
    </row>
    <row r="116" customFormat="false" ht="15" hidden="false" customHeight="true" outlineLevel="0" collapsed="false">
      <c r="A116" s="8" t="s">
        <v>329</v>
      </c>
      <c r="B116" s="8" t="s">
        <v>330</v>
      </c>
      <c r="C116" s="8" t="s">
        <v>331</v>
      </c>
      <c r="D116" s="8" t="n">
        <v>28</v>
      </c>
      <c r="E116" s="8" t="s">
        <v>17</v>
      </c>
      <c r="F116" s="8" t="s">
        <v>31</v>
      </c>
      <c r="G116" s="8" t="s">
        <v>32</v>
      </c>
      <c r="H116" s="8" t="s">
        <v>114</v>
      </c>
      <c r="I116" s="8" t="s">
        <v>115</v>
      </c>
      <c r="J116" s="13" t="s">
        <v>56</v>
      </c>
      <c r="K116" s="8" t="n">
        <v>12</v>
      </c>
      <c r="L116" s="9" t="n">
        <v>72756.8</v>
      </c>
      <c r="M116" s="10" t="n">
        <v>71</v>
      </c>
    </row>
    <row r="117" customFormat="false" ht="15" hidden="false" customHeight="true" outlineLevel="0" collapsed="false">
      <c r="A117" s="4" t="s">
        <v>332</v>
      </c>
      <c r="B117" s="4" t="s">
        <v>242</v>
      </c>
      <c r="C117" s="4" t="s">
        <v>83</v>
      </c>
      <c r="D117" s="4" t="n">
        <v>45</v>
      </c>
      <c r="E117" s="4" t="s">
        <v>17</v>
      </c>
      <c r="F117" s="4" t="s">
        <v>50</v>
      </c>
      <c r="G117" s="4" t="s">
        <v>64</v>
      </c>
      <c r="H117" s="4" t="s">
        <v>88</v>
      </c>
      <c r="I117" s="4" t="s">
        <v>89</v>
      </c>
      <c r="J117" s="11" t="s">
        <v>35</v>
      </c>
      <c r="K117" s="4" t="n">
        <v>3</v>
      </c>
      <c r="L117" s="6" t="n">
        <v>44837.47</v>
      </c>
      <c r="M117" s="7" t="n">
        <v>88</v>
      </c>
    </row>
    <row r="118" customFormat="false" ht="15" hidden="false" customHeight="true" outlineLevel="0" collapsed="false">
      <c r="A118" s="8" t="s">
        <v>333</v>
      </c>
      <c r="B118" s="8" t="s">
        <v>139</v>
      </c>
      <c r="C118" s="8" t="s">
        <v>334</v>
      </c>
      <c r="D118" s="8" t="n">
        <v>73</v>
      </c>
      <c r="E118" s="8" t="s">
        <v>17</v>
      </c>
      <c r="F118" s="8" t="s">
        <v>50</v>
      </c>
      <c r="G118" s="8" t="s">
        <v>19</v>
      </c>
      <c r="H118" s="8" t="s">
        <v>51</v>
      </c>
      <c r="I118" s="8" t="s">
        <v>52</v>
      </c>
      <c r="J118" s="14" t="s">
        <v>65</v>
      </c>
      <c r="K118" s="8" t="n">
        <v>7</v>
      </c>
      <c r="L118" s="9" t="n">
        <v>56235.09</v>
      </c>
      <c r="M118" s="10" t="n">
        <v>85</v>
      </c>
    </row>
    <row r="119" customFormat="false" ht="15" hidden="false" customHeight="true" outlineLevel="0" collapsed="false">
      <c r="A119" s="4" t="s">
        <v>335</v>
      </c>
      <c r="B119" s="4" t="s">
        <v>336</v>
      </c>
      <c r="C119" s="4" t="s">
        <v>337</v>
      </c>
      <c r="D119" s="4" t="n">
        <v>47</v>
      </c>
      <c r="E119" s="4" t="s">
        <v>30</v>
      </c>
      <c r="F119" s="4" t="s">
        <v>18</v>
      </c>
      <c r="G119" s="4" t="s">
        <v>60</v>
      </c>
      <c r="H119" s="4" t="s">
        <v>45</v>
      </c>
      <c r="I119" s="4" t="s">
        <v>46</v>
      </c>
      <c r="J119" s="12" t="s">
        <v>47</v>
      </c>
      <c r="K119" s="4" t="n">
        <v>5</v>
      </c>
      <c r="L119" s="6" t="n">
        <v>5704.81</v>
      </c>
      <c r="M119" s="7" t="n">
        <v>95</v>
      </c>
    </row>
    <row r="120" customFormat="false" ht="15" hidden="false" customHeight="true" outlineLevel="0" collapsed="false">
      <c r="A120" s="8" t="s">
        <v>338</v>
      </c>
      <c r="B120" s="8" t="s">
        <v>339</v>
      </c>
      <c r="C120" s="8" t="s">
        <v>340</v>
      </c>
      <c r="D120" s="8" t="n">
        <v>46</v>
      </c>
      <c r="E120" s="8" t="s">
        <v>30</v>
      </c>
      <c r="F120" s="8" t="s">
        <v>81</v>
      </c>
      <c r="G120" s="8" t="s">
        <v>32</v>
      </c>
      <c r="H120" s="8" t="s">
        <v>20</v>
      </c>
      <c r="I120" s="8" t="s">
        <v>21</v>
      </c>
      <c r="J120" s="12" t="s">
        <v>47</v>
      </c>
      <c r="K120" s="8" t="n">
        <v>6</v>
      </c>
      <c r="L120" s="9" t="n">
        <v>27436.57</v>
      </c>
      <c r="M120" s="10" t="n">
        <v>100</v>
      </c>
    </row>
    <row r="121" customFormat="false" ht="15" hidden="false" customHeight="true" outlineLevel="0" collapsed="false">
      <c r="A121" s="4" t="s">
        <v>341</v>
      </c>
      <c r="B121" s="4" t="s">
        <v>342</v>
      </c>
      <c r="C121" s="4" t="s">
        <v>189</v>
      </c>
      <c r="D121" s="4" t="n">
        <v>42</v>
      </c>
      <c r="E121" s="4" t="s">
        <v>30</v>
      </c>
      <c r="F121" s="4" t="s">
        <v>18</v>
      </c>
      <c r="G121" s="4" t="s">
        <v>32</v>
      </c>
      <c r="H121" s="4" t="s">
        <v>33</v>
      </c>
      <c r="I121" s="4" t="s">
        <v>34</v>
      </c>
      <c r="J121" s="14" t="s">
        <v>65</v>
      </c>
      <c r="K121" s="4" t="n">
        <v>14</v>
      </c>
      <c r="L121" s="6" t="n">
        <v>12999</v>
      </c>
      <c r="M121" s="7" t="n">
        <v>82</v>
      </c>
    </row>
    <row r="122" customFormat="false" ht="15" hidden="false" customHeight="true" outlineLevel="0" collapsed="false">
      <c r="A122" s="8" t="s">
        <v>343</v>
      </c>
      <c r="B122" s="8" t="s">
        <v>344</v>
      </c>
      <c r="C122" s="8" t="s">
        <v>345</v>
      </c>
      <c r="D122" s="8" t="n">
        <v>19</v>
      </c>
      <c r="E122" s="8" t="s">
        <v>17</v>
      </c>
      <c r="F122" s="8" t="s">
        <v>18</v>
      </c>
      <c r="G122" s="8" t="s">
        <v>19</v>
      </c>
      <c r="H122" s="8" t="s">
        <v>45</v>
      </c>
      <c r="I122" s="8" t="s">
        <v>46</v>
      </c>
      <c r="J122" s="14" t="s">
        <v>65</v>
      </c>
      <c r="K122" s="8" t="n">
        <v>14</v>
      </c>
      <c r="L122" s="9" t="n">
        <v>34685.43</v>
      </c>
      <c r="M122" s="10" t="n">
        <v>70</v>
      </c>
    </row>
    <row r="123" customFormat="false" ht="15" hidden="false" customHeight="true" outlineLevel="0" collapsed="false">
      <c r="A123" s="4" t="s">
        <v>346</v>
      </c>
      <c r="B123" s="4" t="s">
        <v>292</v>
      </c>
      <c r="C123" s="4" t="s">
        <v>110</v>
      </c>
      <c r="D123" s="4" t="n">
        <v>67</v>
      </c>
      <c r="E123" s="4" t="s">
        <v>17</v>
      </c>
      <c r="F123" s="4" t="s">
        <v>18</v>
      </c>
      <c r="G123" s="4" t="s">
        <v>32</v>
      </c>
      <c r="H123" s="4" t="s">
        <v>45</v>
      </c>
      <c r="I123" s="4" t="s">
        <v>46</v>
      </c>
      <c r="J123" s="11" t="s">
        <v>35</v>
      </c>
      <c r="K123" s="4" t="n">
        <v>13</v>
      </c>
      <c r="L123" s="6" t="n">
        <v>50529.87</v>
      </c>
      <c r="M123" s="7" t="n">
        <v>81</v>
      </c>
    </row>
    <row r="124" customFormat="false" ht="15" hidden="false" customHeight="true" outlineLevel="0" collapsed="false">
      <c r="A124" s="8" t="s">
        <v>347</v>
      </c>
      <c r="B124" s="8" t="s">
        <v>348</v>
      </c>
      <c r="C124" s="8" t="s">
        <v>349</v>
      </c>
      <c r="D124" s="8" t="n">
        <v>58</v>
      </c>
      <c r="E124" s="8" t="s">
        <v>17</v>
      </c>
      <c r="F124" s="8" t="s">
        <v>18</v>
      </c>
      <c r="G124" s="8" t="s">
        <v>32</v>
      </c>
      <c r="H124" s="8" t="s">
        <v>40</v>
      </c>
      <c r="I124" s="8" t="s">
        <v>41</v>
      </c>
      <c r="J124" s="12" t="s">
        <v>47</v>
      </c>
      <c r="K124" s="8" t="n">
        <v>2</v>
      </c>
      <c r="L124" s="9" t="n">
        <v>53475.55</v>
      </c>
      <c r="M124" s="10" t="n">
        <v>79</v>
      </c>
    </row>
    <row r="125" customFormat="false" ht="15" hidden="false" customHeight="true" outlineLevel="0" collapsed="false">
      <c r="A125" s="4" t="s">
        <v>350</v>
      </c>
      <c r="B125" s="4" t="s">
        <v>351</v>
      </c>
      <c r="C125" s="4" t="s">
        <v>37</v>
      </c>
      <c r="D125" s="4" t="n">
        <v>23</v>
      </c>
      <c r="E125" s="4" t="s">
        <v>17</v>
      </c>
      <c r="F125" s="4" t="s">
        <v>18</v>
      </c>
      <c r="G125" s="4" t="s">
        <v>32</v>
      </c>
      <c r="H125" s="4" t="s">
        <v>40</v>
      </c>
      <c r="I125" s="4" t="s">
        <v>41</v>
      </c>
      <c r="J125" s="11" t="s">
        <v>35</v>
      </c>
      <c r="K125" s="4" t="n">
        <v>5</v>
      </c>
      <c r="L125" s="6" t="n">
        <v>61061.06</v>
      </c>
      <c r="M125" s="7" t="n">
        <v>75</v>
      </c>
    </row>
    <row r="126" customFormat="false" ht="15" hidden="false" customHeight="true" outlineLevel="0" collapsed="false">
      <c r="A126" s="8" t="s">
        <v>352</v>
      </c>
      <c r="B126" s="8" t="s">
        <v>353</v>
      </c>
      <c r="C126" s="8" t="s">
        <v>295</v>
      </c>
      <c r="D126" s="8" t="n">
        <v>50</v>
      </c>
      <c r="E126" s="8" t="s">
        <v>30</v>
      </c>
      <c r="F126" s="8" t="s">
        <v>31</v>
      </c>
      <c r="G126" s="8" t="s">
        <v>64</v>
      </c>
      <c r="H126" s="8" t="s">
        <v>101</v>
      </c>
      <c r="I126" s="8" t="s">
        <v>102</v>
      </c>
      <c r="J126" s="12" t="s">
        <v>47</v>
      </c>
      <c r="K126" s="8" t="n">
        <v>5</v>
      </c>
      <c r="L126" s="9" t="n">
        <v>24272.76</v>
      </c>
      <c r="M126" s="10" t="n">
        <v>96</v>
      </c>
    </row>
    <row r="127" customFormat="false" ht="15" hidden="false" customHeight="true" outlineLevel="0" collapsed="false">
      <c r="A127" s="4" t="s">
        <v>354</v>
      </c>
      <c r="B127" s="4" t="s">
        <v>159</v>
      </c>
      <c r="C127" s="4" t="s">
        <v>355</v>
      </c>
      <c r="D127" s="4" t="n">
        <v>79</v>
      </c>
      <c r="E127" s="4" t="s">
        <v>30</v>
      </c>
      <c r="F127" s="4" t="s">
        <v>77</v>
      </c>
      <c r="G127" s="4" t="s">
        <v>19</v>
      </c>
      <c r="H127" s="4" t="s">
        <v>114</v>
      </c>
      <c r="I127" s="4" t="s">
        <v>115</v>
      </c>
      <c r="J127" s="12" t="s">
        <v>47</v>
      </c>
      <c r="K127" s="4" t="n">
        <v>2</v>
      </c>
      <c r="L127" s="6" t="n">
        <v>61561.36</v>
      </c>
      <c r="M127" s="7" t="n">
        <v>77</v>
      </c>
    </row>
    <row r="128" customFormat="false" ht="15" hidden="false" customHeight="true" outlineLevel="0" collapsed="false">
      <c r="A128" s="8" t="s">
        <v>356</v>
      </c>
      <c r="B128" s="8" t="s">
        <v>357</v>
      </c>
      <c r="C128" s="8" t="s">
        <v>159</v>
      </c>
      <c r="D128" s="8" t="n">
        <v>34</v>
      </c>
      <c r="E128" s="8" t="s">
        <v>30</v>
      </c>
      <c r="F128" s="8" t="s">
        <v>31</v>
      </c>
      <c r="G128" s="8" t="s">
        <v>64</v>
      </c>
      <c r="H128" s="8" t="s">
        <v>26</v>
      </c>
      <c r="I128" s="8" t="s">
        <v>27</v>
      </c>
      <c r="J128" s="13" t="s">
        <v>56</v>
      </c>
      <c r="K128" s="8" t="n">
        <v>9</v>
      </c>
      <c r="L128" s="9" t="n">
        <v>39108.95</v>
      </c>
      <c r="M128" s="10" t="n">
        <v>91</v>
      </c>
    </row>
    <row r="129" customFormat="false" ht="15" hidden="false" customHeight="true" outlineLevel="0" collapsed="false">
      <c r="A129" s="4" t="s">
        <v>358</v>
      </c>
      <c r="B129" s="4" t="s">
        <v>139</v>
      </c>
      <c r="C129" s="4" t="s">
        <v>140</v>
      </c>
      <c r="D129" s="4" t="n">
        <v>48</v>
      </c>
      <c r="E129" s="4" t="s">
        <v>17</v>
      </c>
      <c r="F129" s="4" t="s">
        <v>77</v>
      </c>
      <c r="G129" s="4" t="s">
        <v>19</v>
      </c>
      <c r="H129" s="4" t="s">
        <v>33</v>
      </c>
      <c r="I129" s="4" t="s">
        <v>34</v>
      </c>
      <c r="J129" s="13" t="s">
        <v>56</v>
      </c>
      <c r="K129" s="4" t="n">
        <v>1</v>
      </c>
      <c r="L129" s="6" t="n">
        <v>71317.61</v>
      </c>
      <c r="M129" s="7" t="n">
        <v>87</v>
      </c>
    </row>
    <row r="130" customFormat="false" ht="15" hidden="false" customHeight="true" outlineLevel="0" collapsed="false">
      <c r="A130" s="8" t="s">
        <v>359</v>
      </c>
      <c r="B130" s="8" t="s">
        <v>178</v>
      </c>
      <c r="C130" s="8" t="s">
        <v>158</v>
      </c>
      <c r="D130" s="8" t="n">
        <v>59</v>
      </c>
      <c r="E130" s="8" t="s">
        <v>30</v>
      </c>
      <c r="F130" s="8" t="s">
        <v>81</v>
      </c>
      <c r="G130" s="8" t="s">
        <v>64</v>
      </c>
      <c r="H130" s="8" t="s">
        <v>45</v>
      </c>
      <c r="I130" s="8" t="s">
        <v>46</v>
      </c>
      <c r="J130" s="5" t="s">
        <v>22</v>
      </c>
      <c r="K130" s="8" t="n">
        <v>7</v>
      </c>
      <c r="L130" s="9" t="n">
        <v>15483.28</v>
      </c>
      <c r="M130" s="10" t="n">
        <v>100</v>
      </c>
    </row>
    <row r="131" customFormat="false" ht="15" hidden="false" customHeight="true" outlineLevel="0" collapsed="false">
      <c r="A131" s="4" t="s">
        <v>360</v>
      </c>
      <c r="B131" s="4" t="s">
        <v>361</v>
      </c>
      <c r="C131" s="4" t="s">
        <v>362</v>
      </c>
      <c r="D131" s="4" t="n">
        <v>33</v>
      </c>
      <c r="E131" s="4" t="s">
        <v>30</v>
      </c>
      <c r="F131" s="4" t="s">
        <v>18</v>
      </c>
      <c r="G131" s="4" t="s">
        <v>60</v>
      </c>
      <c r="H131" s="4" t="s">
        <v>20</v>
      </c>
      <c r="I131" s="4" t="s">
        <v>21</v>
      </c>
      <c r="J131" s="14" t="s">
        <v>65</v>
      </c>
      <c r="K131" s="4" t="n">
        <v>9</v>
      </c>
      <c r="L131" s="6" t="n">
        <v>34148.44</v>
      </c>
      <c r="M131" s="7" t="n">
        <v>81</v>
      </c>
    </row>
    <row r="132" customFormat="false" ht="15" hidden="false" customHeight="true" outlineLevel="0" collapsed="false">
      <c r="A132" s="8" t="s">
        <v>363</v>
      </c>
      <c r="B132" s="8" t="s">
        <v>94</v>
      </c>
      <c r="C132" s="8" t="s">
        <v>290</v>
      </c>
      <c r="D132" s="8" t="n">
        <v>59</v>
      </c>
      <c r="E132" s="8" t="s">
        <v>17</v>
      </c>
      <c r="F132" s="8" t="s">
        <v>31</v>
      </c>
      <c r="G132" s="8" t="s">
        <v>60</v>
      </c>
      <c r="H132" s="8" t="s">
        <v>72</v>
      </c>
      <c r="I132" s="8" t="s">
        <v>73</v>
      </c>
      <c r="J132" s="13" t="s">
        <v>56</v>
      </c>
      <c r="K132" s="8" t="n">
        <v>2</v>
      </c>
      <c r="L132" s="9" t="n">
        <v>51173.92</v>
      </c>
      <c r="M132" s="10" t="n">
        <v>100</v>
      </c>
    </row>
    <row r="133" customFormat="false" ht="15" hidden="false" customHeight="true" outlineLevel="0" collapsed="false">
      <c r="A133" s="4" t="s">
        <v>364</v>
      </c>
      <c r="B133" s="4" t="s">
        <v>38</v>
      </c>
      <c r="C133" s="4" t="s">
        <v>365</v>
      </c>
      <c r="D133" s="4" t="n">
        <v>46</v>
      </c>
      <c r="E133" s="4" t="s">
        <v>30</v>
      </c>
      <c r="F133" s="4" t="s">
        <v>77</v>
      </c>
      <c r="G133" s="4" t="s">
        <v>19</v>
      </c>
      <c r="H133" s="4" t="s">
        <v>114</v>
      </c>
      <c r="I133" s="4" t="s">
        <v>115</v>
      </c>
      <c r="J133" s="13" t="s">
        <v>56</v>
      </c>
      <c r="K133" s="4" t="n">
        <v>4</v>
      </c>
      <c r="L133" s="6" t="n">
        <v>12451.6</v>
      </c>
      <c r="M133" s="7" t="n">
        <v>91</v>
      </c>
    </row>
    <row r="134" customFormat="false" ht="15" hidden="false" customHeight="true" outlineLevel="0" collapsed="false">
      <c r="A134" s="8" t="s">
        <v>366</v>
      </c>
      <c r="B134" s="8" t="s">
        <v>223</v>
      </c>
      <c r="C134" s="8" t="s">
        <v>70</v>
      </c>
      <c r="D134" s="8" t="n">
        <v>30</v>
      </c>
      <c r="E134" s="8" t="s">
        <v>17</v>
      </c>
      <c r="F134" s="8" t="s">
        <v>77</v>
      </c>
      <c r="G134" s="8" t="s">
        <v>32</v>
      </c>
      <c r="H134" s="8" t="s">
        <v>45</v>
      </c>
      <c r="I134" s="8" t="s">
        <v>46</v>
      </c>
      <c r="J134" s="14" t="s">
        <v>65</v>
      </c>
      <c r="K134" s="8" t="n">
        <v>2</v>
      </c>
      <c r="L134" s="9" t="n">
        <v>11875.51</v>
      </c>
      <c r="M134" s="10" t="n">
        <v>76</v>
      </c>
    </row>
    <row r="135" customFormat="false" ht="15" hidden="false" customHeight="true" outlineLevel="0" collapsed="false">
      <c r="A135" s="4" t="s">
        <v>367</v>
      </c>
      <c r="B135" s="4" t="s">
        <v>368</v>
      </c>
      <c r="C135" s="4" t="s">
        <v>369</v>
      </c>
      <c r="D135" s="4" t="n">
        <v>26</v>
      </c>
      <c r="E135" s="4" t="s">
        <v>17</v>
      </c>
      <c r="F135" s="4" t="s">
        <v>18</v>
      </c>
      <c r="G135" s="4" t="s">
        <v>60</v>
      </c>
      <c r="H135" s="4" t="s">
        <v>33</v>
      </c>
      <c r="I135" s="4" t="s">
        <v>34</v>
      </c>
      <c r="J135" s="14" t="s">
        <v>65</v>
      </c>
      <c r="K135" s="4" t="n">
        <v>13</v>
      </c>
      <c r="L135" s="6" t="n">
        <v>20390.42</v>
      </c>
      <c r="M135" s="7" t="n">
        <v>96</v>
      </c>
    </row>
    <row r="136" customFormat="false" ht="15" hidden="false" customHeight="true" outlineLevel="0" collapsed="false">
      <c r="A136" s="8" t="s">
        <v>370</v>
      </c>
      <c r="B136" s="8" t="s">
        <v>371</v>
      </c>
      <c r="C136" s="8" t="s">
        <v>372</v>
      </c>
      <c r="D136" s="8" t="n">
        <v>39</v>
      </c>
      <c r="E136" s="8" t="s">
        <v>30</v>
      </c>
      <c r="F136" s="8" t="s">
        <v>50</v>
      </c>
      <c r="G136" s="8" t="s">
        <v>60</v>
      </c>
      <c r="H136" s="8" t="s">
        <v>33</v>
      </c>
      <c r="I136" s="8" t="s">
        <v>34</v>
      </c>
      <c r="J136" s="5" t="s">
        <v>22</v>
      </c>
      <c r="K136" s="8" t="n">
        <v>13</v>
      </c>
      <c r="L136" s="9" t="n">
        <v>64148.28</v>
      </c>
      <c r="M136" s="10" t="n">
        <v>89</v>
      </c>
    </row>
    <row r="137" customFormat="false" ht="15" hidden="false" customHeight="true" outlineLevel="0" collapsed="false">
      <c r="A137" s="4" t="s">
        <v>373</v>
      </c>
      <c r="B137" s="4" t="s">
        <v>295</v>
      </c>
      <c r="C137" s="4" t="s">
        <v>227</v>
      </c>
      <c r="D137" s="4" t="n">
        <v>34</v>
      </c>
      <c r="E137" s="4" t="s">
        <v>17</v>
      </c>
      <c r="F137" s="4" t="s">
        <v>77</v>
      </c>
      <c r="G137" s="4" t="s">
        <v>32</v>
      </c>
      <c r="H137" s="4" t="s">
        <v>101</v>
      </c>
      <c r="I137" s="4" t="s">
        <v>102</v>
      </c>
      <c r="J137" s="5" t="s">
        <v>22</v>
      </c>
      <c r="K137" s="4" t="n">
        <v>13</v>
      </c>
      <c r="L137" s="6" t="n">
        <v>13244.48</v>
      </c>
      <c r="M137" s="7" t="n">
        <v>97</v>
      </c>
    </row>
    <row r="138" customFormat="false" ht="15" hidden="false" customHeight="true" outlineLevel="0" collapsed="false">
      <c r="A138" s="8" t="s">
        <v>374</v>
      </c>
      <c r="B138" s="8" t="s">
        <v>375</v>
      </c>
      <c r="C138" s="8" t="s">
        <v>376</v>
      </c>
      <c r="D138" s="8" t="n">
        <v>55</v>
      </c>
      <c r="E138" s="8" t="s">
        <v>30</v>
      </c>
      <c r="F138" s="8" t="s">
        <v>18</v>
      </c>
      <c r="G138" s="8" t="s">
        <v>64</v>
      </c>
      <c r="H138" s="8" t="s">
        <v>33</v>
      </c>
      <c r="I138" s="8" t="s">
        <v>34</v>
      </c>
      <c r="J138" s="11" t="s">
        <v>35</v>
      </c>
      <c r="K138" s="8" t="n">
        <v>6</v>
      </c>
      <c r="L138" s="9" t="n">
        <v>18068.47</v>
      </c>
      <c r="M138" s="10" t="n">
        <v>71</v>
      </c>
    </row>
    <row r="139" customFormat="false" ht="15" hidden="false" customHeight="true" outlineLevel="0" collapsed="false">
      <c r="A139" s="4" t="s">
        <v>377</v>
      </c>
      <c r="B139" s="4" t="s">
        <v>38</v>
      </c>
      <c r="C139" s="4" t="s">
        <v>378</v>
      </c>
      <c r="D139" s="4" t="n">
        <v>48</v>
      </c>
      <c r="E139" s="4" t="s">
        <v>17</v>
      </c>
      <c r="F139" s="4" t="s">
        <v>18</v>
      </c>
      <c r="G139" s="4" t="s">
        <v>64</v>
      </c>
      <c r="H139" s="4" t="s">
        <v>20</v>
      </c>
      <c r="I139" s="4" t="s">
        <v>21</v>
      </c>
      <c r="J139" s="12" t="s">
        <v>47</v>
      </c>
      <c r="K139" s="4" t="n">
        <v>8</v>
      </c>
      <c r="L139" s="6" t="n">
        <v>43492.85</v>
      </c>
      <c r="M139" s="7" t="n">
        <v>73</v>
      </c>
    </row>
    <row r="140" customFormat="false" ht="15" hidden="false" customHeight="true" outlineLevel="0" collapsed="false">
      <c r="A140" s="8" t="s">
        <v>379</v>
      </c>
      <c r="B140" s="8" t="s">
        <v>380</v>
      </c>
      <c r="C140" s="8" t="s">
        <v>344</v>
      </c>
      <c r="D140" s="8" t="n">
        <v>37</v>
      </c>
      <c r="E140" s="8" t="s">
        <v>30</v>
      </c>
      <c r="F140" s="8" t="s">
        <v>81</v>
      </c>
      <c r="G140" s="8" t="s">
        <v>64</v>
      </c>
      <c r="H140" s="8" t="s">
        <v>101</v>
      </c>
      <c r="I140" s="8" t="s">
        <v>102</v>
      </c>
      <c r="J140" s="12" t="s">
        <v>47</v>
      </c>
      <c r="K140" s="8" t="n">
        <v>8</v>
      </c>
      <c r="L140" s="9" t="n">
        <v>77301.96</v>
      </c>
      <c r="M140" s="10" t="n">
        <v>71</v>
      </c>
    </row>
    <row r="141" customFormat="false" ht="15" hidden="false" customHeight="true" outlineLevel="0" collapsed="false">
      <c r="A141" s="4" t="s">
        <v>381</v>
      </c>
      <c r="B141" s="4" t="s">
        <v>269</v>
      </c>
      <c r="C141" s="4" t="s">
        <v>270</v>
      </c>
      <c r="D141" s="4" t="n">
        <v>63</v>
      </c>
      <c r="E141" s="4" t="s">
        <v>17</v>
      </c>
      <c r="F141" s="4" t="s">
        <v>77</v>
      </c>
      <c r="G141" s="4" t="s">
        <v>60</v>
      </c>
      <c r="H141" s="4" t="s">
        <v>114</v>
      </c>
      <c r="I141" s="4" t="s">
        <v>115</v>
      </c>
      <c r="J141" s="14" t="s">
        <v>65</v>
      </c>
      <c r="K141" s="4" t="n">
        <v>8</v>
      </c>
      <c r="L141" s="6" t="n">
        <v>72445.01</v>
      </c>
      <c r="M141" s="7" t="n">
        <v>80</v>
      </c>
    </row>
    <row r="142" customFormat="false" ht="15" hidden="false" customHeight="true" outlineLevel="0" collapsed="false">
      <c r="A142" s="8" t="s">
        <v>382</v>
      </c>
      <c r="B142" s="8" t="s">
        <v>166</v>
      </c>
      <c r="C142" s="8" t="s">
        <v>383</v>
      </c>
      <c r="D142" s="8" t="n">
        <v>57</v>
      </c>
      <c r="E142" s="8" t="s">
        <v>30</v>
      </c>
      <c r="F142" s="8" t="s">
        <v>81</v>
      </c>
      <c r="G142" s="8" t="s">
        <v>39</v>
      </c>
      <c r="H142" s="8" t="s">
        <v>45</v>
      </c>
      <c r="I142" s="8" t="s">
        <v>46</v>
      </c>
      <c r="J142" s="12" t="s">
        <v>47</v>
      </c>
      <c r="K142" s="8" t="n">
        <v>11</v>
      </c>
      <c r="L142" s="9" t="n">
        <v>46126.73</v>
      </c>
      <c r="M142" s="10" t="n">
        <v>80</v>
      </c>
    </row>
    <row r="143" customFormat="false" ht="15" hidden="false" customHeight="true" outlineLevel="0" collapsed="false">
      <c r="A143" s="4" t="s">
        <v>384</v>
      </c>
      <c r="B143" s="4" t="s">
        <v>58</v>
      </c>
      <c r="C143" s="4" t="s">
        <v>385</v>
      </c>
      <c r="D143" s="4" t="n">
        <v>45</v>
      </c>
      <c r="E143" s="4" t="s">
        <v>17</v>
      </c>
      <c r="F143" s="4" t="s">
        <v>81</v>
      </c>
      <c r="G143" s="4" t="s">
        <v>19</v>
      </c>
      <c r="H143" s="4" t="s">
        <v>51</v>
      </c>
      <c r="I143" s="4" t="s">
        <v>52</v>
      </c>
      <c r="J143" s="14" t="s">
        <v>65</v>
      </c>
      <c r="K143" s="4" t="n">
        <v>2</v>
      </c>
      <c r="L143" s="6" t="n">
        <v>13581.06</v>
      </c>
      <c r="M143" s="7" t="n">
        <v>90</v>
      </c>
    </row>
    <row r="144" customFormat="false" ht="15" hidden="false" customHeight="true" outlineLevel="0" collapsed="false">
      <c r="A144" s="8" t="s">
        <v>386</v>
      </c>
      <c r="B144" s="8" t="s">
        <v>223</v>
      </c>
      <c r="C144" s="8" t="s">
        <v>230</v>
      </c>
      <c r="D144" s="8" t="n">
        <v>44</v>
      </c>
      <c r="E144" s="8" t="s">
        <v>30</v>
      </c>
      <c r="F144" s="8" t="s">
        <v>81</v>
      </c>
      <c r="G144" s="8" t="s">
        <v>32</v>
      </c>
      <c r="H144" s="8" t="s">
        <v>33</v>
      </c>
      <c r="I144" s="8" t="s">
        <v>34</v>
      </c>
      <c r="J144" s="5" t="s">
        <v>22</v>
      </c>
      <c r="K144" s="8" t="n">
        <v>6</v>
      </c>
      <c r="L144" s="9" t="n">
        <v>34904.76</v>
      </c>
      <c r="M144" s="10" t="n">
        <v>93</v>
      </c>
    </row>
    <row r="145" customFormat="false" ht="15" hidden="false" customHeight="true" outlineLevel="0" collapsed="false">
      <c r="A145" s="4" t="s">
        <v>387</v>
      </c>
      <c r="B145" s="4" t="s">
        <v>345</v>
      </c>
      <c r="C145" s="4" t="s">
        <v>388</v>
      </c>
      <c r="D145" s="4" t="n">
        <v>41</v>
      </c>
      <c r="E145" s="4" t="s">
        <v>17</v>
      </c>
      <c r="F145" s="4" t="s">
        <v>77</v>
      </c>
      <c r="G145" s="4" t="s">
        <v>19</v>
      </c>
      <c r="H145" s="4" t="s">
        <v>45</v>
      </c>
      <c r="I145" s="4" t="s">
        <v>46</v>
      </c>
      <c r="J145" s="5" t="s">
        <v>22</v>
      </c>
      <c r="K145" s="4" t="n">
        <v>3</v>
      </c>
      <c r="L145" s="6" t="n">
        <v>74223.88</v>
      </c>
      <c r="M145" s="7" t="n">
        <v>72</v>
      </c>
    </row>
    <row r="146" customFormat="false" ht="15" hidden="false" customHeight="true" outlineLevel="0" collapsed="false">
      <c r="A146" s="8" t="s">
        <v>389</v>
      </c>
      <c r="B146" s="8" t="s">
        <v>390</v>
      </c>
      <c r="C146" s="8" t="s">
        <v>142</v>
      </c>
      <c r="D146" s="8" t="n">
        <v>65</v>
      </c>
      <c r="E146" s="8" t="s">
        <v>30</v>
      </c>
      <c r="F146" s="8" t="s">
        <v>77</v>
      </c>
      <c r="G146" s="8" t="s">
        <v>19</v>
      </c>
      <c r="H146" s="8" t="s">
        <v>20</v>
      </c>
      <c r="I146" s="8" t="s">
        <v>21</v>
      </c>
      <c r="J146" s="5" t="s">
        <v>22</v>
      </c>
      <c r="K146" s="8" t="n">
        <v>12</v>
      </c>
      <c r="L146" s="9" t="n">
        <v>65882.7</v>
      </c>
      <c r="M146" s="10" t="n">
        <v>87</v>
      </c>
    </row>
    <row r="147" customFormat="false" ht="15" hidden="false" customHeight="true" outlineLevel="0" collapsed="false">
      <c r="A147" s="4" t="s">
        <v>391</v>
      </c>
      <c r="B147" s="4" t="s">
        <v>392</v>
      </c>
      <c r="C147" s="4" t="s">
        <v>87</v>
      </c>
      <c r="D147" s="4" t="n">
        <v>73</v>
      </c>
      <c r="E147" s="4" t="s">
        <v>30</v>
      </c>
      <c r="F147" s="4" t="s">
        <v>18</v>
      </c>
      <c r="G147" s="4" t="s">
        <v>32</v>
      </c>
      <c r="H147" s="4" t="s">
        <v>88</v>
      </c>
      <c r="I147" s="4" t="s">
        <v>89</v>
      </c>
      <c r="J147" s="5" t="s">
        <v>22</v>
      </c>
      <c r="K147" s="4" t="n">
        <v>11</v>
      </c>
      <c r="L147" s="6" t="n">
        <v>70106.91</v>
      </c>
      <c r="M147" s="7" t="n">
        <v>93</v>
      </c>
    </row>
    <row r="148" customFormat="false" ht="15" hidden="false" customHeight="true" outlineLevel="0" collapsed="false">
      <c r="A148" s="8" t="s">
        <v>393</v>
      </c>
      <c r="B148" s="8" t="s">
        <v>91</v>
      </c>
      <c r="C148" s="8" t="s">
        <v>304</v>
      </c>
      <c r="D148" s="8" t="n">
        <v>24</v>
      </c>
      <c r="E148" s="8" t="s">
        <v>17</v>
      </c>
      <c r="F148" s="8" t="s">
        <v>77</v>
      </c>
      <c r="G148" s="8" t="s">
        <v>32</v>
      </c>
      <c r="H148" s="8" t="s">
        <v>88</v>
      </c>
      <c r="I148" s="8" t="s">
        <v>89</v>
      </c>
      <c r="J148" s="12" t="s">
        <v>47</v>
      </c>
      <c r="K148" s="8" t="n">
        <v>10</v>
      </c>
      <c r="L148" s="9" t="n">
        <v>20955.41</v>
      </c>
      <c r="M148" s="10" t="n">
        <v>91</v>
      </c>
    </row>
    <row r="149" customFormat="false" ht="15" hidden="false" customHeight="true" outlineLevel="0" collapsed="false">
      <c r="A149" s="4" t="s">
        <v>394</v>
      </c>
      <c r="B149" s="4" t="s">
        <v>29</v>
      </c>
      <c r="C149" s="4" t="s">
        <v>395</v>
      </c>
      <c r="D149" s="4" t="n">
        <v>41</v>
      </c>
      <c r="E149" s="4" t="s">
        <v>17</v>
      </c>
      <c r="F149" s="4" t="s">
        <v>18</v>
      </c>
      <c r="G149" s="4" t="s">
        <v>32</v>
      </c>
      <c r="H149" s="4" t="s">
        <v>101</v>
      </c>
      <c r="I149" s="4" t="s">
        <v>102</v>
      </c>
      <c r="J149" s="12" t="s">
        <v>47</v>
      </c>
      <c r="K149" s="4" t="n">
        <v>2</v>
      </c>
      <c r="L149" s="6" t="n">
        <v>48057.5</v>
      </c>
      <c r="M149" s="7" t="n">
        <v>95</v>
      </c>
    </row>
    <row r="150" customFormat="false" ht="15" hidden="false" customHeight="true" outlineLevel="0" collapsed="false">
      <c r="A150" s="8" t="s">
        <v>396</v>
      </c>
      <c r="B150" s="8" t="s">
        <v>58</v>
      </c>
      <c r="C150" s="8" t="s">
        <v>59</v>
      </c>
      <c r="D150" s="8" t="n">
        <v>29</v>
      </c>
      <c r="E150" s="8" t="s">
        <v>30</v>
      </c>
      <c r="F150" s="8" t="s">
        <v>77</v>
      </c>
      <c r="G150" s="8" t="s">
        <v>60</v>
      </c>
      <c r="H150" s="8" t="s">
        <v>26</v>
      </c>
      <c r="I150" s="8" t="s">
        <v>27</v>
      </c>
      <c r="J150" s="13" t="s">
        <v>56</v>
      </c>
      <c r="K150" s="8" t="n">
        <v>5</v>
      </c>
      <c r="L150" s="9" t="n">
        <v>62180.71</v>
      </c>
      <c r="M150" s="10" t="n">
        <v>99</v>
      </c>
    </row>
    <row r="151" customFormat="false" ht="15" hidden="false" customHeight="true" outlineLevel="0" collapsed="false">
      <c r="A151" s="4" t="s">
        <v>397</v>
      </c>
      <c r="B151" s="4" t="s">
        <v>245</v>
      </c>
      <c r="C151" s="4" t="s">
        <v>392</v>
      </c>
      <c r="D151" s="4" t="n">
        <v>54</v>
      </c>
      <c r="E151" s="4" t="s">
        <v>17</v>
      </c>
      <c r="F151" s="4" t="s">
        <v>18</v>
      </c>
      <c r="G151" s="4" t="s">
        <v>60</v>
      </c>
      <c r="H151" s="4" t="s">
        <v>40</v>
      </c>
      <c r="I151" s="4" t="s">
        <v>41</v>
      </c>
      <c r="J151" s="5" t="s">
        <v>22</v>
      </c>
      <c r="K151" s="4" t="n">
        <v>11</v>
      </c>
      <c r="L151" s="6" t="n">
        <v>10218.91</v>
      </c>
      <c r="M151" s="7" t="n">
        <v>93</v>
      </c>
    </row>
    <row r="152" customFormat="false" ht="15" hidden="false" customHeight="true" outlineLevel="0" collapsed="false">
      <c r="A152" s="8" t="s">
        <v>398</v>
      </c>
      <c r="B152" s="8" t="s">
        <v>247</v>
      </c>
      <c r="C152" s="8" t="s">
        <v>399</v>
      </c>
      <c r="D152" s="8" t="n">
        <v>44</v>
      </c>
      <c r="E152" s="8" t="s">
        <v>17</v>
      </c>
      <c r="F152" s="8" t="s">
        <v>77</v>
      </c>
      <c r="G152" s="8" t="s">
        <v>60</v>
      </c>
      <c r="H152" s="8" t="s">
        <v>72</v>
      </c>
      <c r="I152" s="8" t="s">
        <v>73</v>
      </c>
      <c r="J152" s="13" t="s">
        <v>56</v>
      </c>
      <c r="K152" s="8" t="n">
        <v>8</v>
      </c>
      <c r="L152" s="9" t="n">
        <v>16805.7</v>
      </c>
      <c r="M152" s="10" t="n">
        <v>79</v>
      </c>
    </row>
    <row r="153" customFormat="false" ht="15" hidden="false" customHeight="true" outlineLevel="0" collapsed="false">
      <c r="A153" s="4" t="s">
        <v>400</v>
      </c>
      <c r="B153" s="4" t="s">
        <v>401</v>
      </c>
      <c r="C153" s="4" t="s">
        <v>118</v>
      </c>
      <c r="D153" s="4" t="n">
        <v>66</v>
      </c>
      <c r="E153" s="4" t="s">
        <v>30</v>
      </c>
      <c r="F153" s="4" t="s">
        <v>81</v>
      </c>
      <c r="G153" s="4" t="s">
        <v>39</v>
      </c>
      <c r="H153" s="4" t="s">
        <v>40</v>
      </c>
      <c r="I153" s="4" t="s">
        <v>41</v>
      </c>
      <c r="J153" s="12" t="s">
        <v>47</v>
      </c>
      <c r="K153" s="4" t="n">
        <v>10</v>
      </c>
      <c r="L153" s="6" t="n">
        <v>55547.65</v>
      </c>
      <c r="M153" s="7" t="n">
        <v>78</v>
      </c>
    </row>
    <row r="154" customFormat="false" ht="15" hidden="false" customHeight="true" outlineLevel="0" collapsed="false">
      <c r="A154" s="8" t="s">
        <v>402</v>
      </c>
      <c r="B154" s="8" t="s">
        <v>256</v>
      </c>
      <c r="C154" s="8" t="s">
        <v>403</v>
      </c>
      <c r="D154" s="8" t="n">
        <v>44</v>
      </c>
      <c r="E154" s="8" t="s">
        <v>30</v>
      </c>
      <c r="F154" s="8" t="s">
        <v>77</v>
      </c>
      <c r="G154" s="8" t="s">
        <v>32</v>
      </c>
      <c r="H154" s="8" t="s">
        <v>114</v>
      </c>
      <c r="I154" s="8" t="s">
        <v>115</v>
      </c>
      <c r="J154" s="13" t="s">
        <v>56</v>
      </c>
      <c r="K154" s="8" t="n">
        <v>5</v>
      </c>
      <c r="L154" s="9" t="n">
        <v>61620.74</v>
      </c>
      <c r="M154" s="10" t="n">
        <v>73</v>
      </c>
    </row>
    <row r="155" customFormat="false" ht="15" hidden="false" customHeight="true" outlineLevel="0" collapsed="false">
      <c r="A155" s="4" t="s">
        <v>404</v>
      </c>
      <c r="B155" s="4" t="s">
        <v>336</v>
      </c>
      <c r="C155" s="4" t="s">
        <v>405</v>
      </c>
      <c r="D155" s="4" t="n">
        <v>49</v>
      </c>
      <c r="E155" s="4" t="s">
        <v>17</v>
      </c>
      <c r="F155" s="4" t="s">
        <v>77</v>
      </c>
      <c r="G155" s="4" t="s">
        <v>60</v>
      </c>
      <c r="H155" s="4" t="s">
        <v>51</v>
      </c>
      <c r="I155" s="4" t="s">
        <v>52</v>
      </c>
      <c r="J155" s="12" t="s">
        <v>47</v>
      </c>
      <c r="K155" s="4" t="n">
        <v>9</v>
      </c>
      <c r="L155" s="6" t="n">
        <v>28131.45</v>
      </c>
      <c r="M155" s="7" t="n">
        <v>77</v>
      </c>
    </row>
    <row r="156" customFormat="false" ht="15" hidden="false" customHeight="true" outlineLevel="0" collapsed="false">
      <c r="A156" s="8" t="s">
        <v>406</v>
      </c>
      <c r="B156" s="8" t="s">
        <v>407</v>
      </c>
      <c r="C156" s="8" t="s">
        <v>355</v>
      </c>
      <c r="D156" s="8" t="n">
        <v>78</v>
      </c>
      <c r="E156" s="8" t="s">
        <v>17</v>
      </c>
      <c r="F156" s="8" t="s">
        <v>77</v>
      </c>
      <c r="G156" s="8" t="s">
        <v>19</v>
      </c>
      <c r="H156" s="8" t="s">
        <v>45</v>
      </c>
      <c r="I156" s="8" t="s">
        <v>46</v>
      </c>
      <c r="J156" s="13" t="s">
        <v>56</v>
      </c>
      <c r="K156" s="8" t="n">
        <v>4</v>
      </c>
      <c r="L156" s="9" t="n">
        <v>62312.07</v>
      </c>
      <c r="M156" s="10" t="n">
        <v>79</v>
      </c>
    </row>
    <row r="157" customFormat="false" ht="15" hidden="false" customHeight="true" outlineLevel="0" collapsed="false">
      <c r="A157" s="4" t="s">
        <v>408</v>
      </c>
      <c r="B157" s="4" t="s">
        <v>244</v>
      </c>
      <c r="C157" s="4" t="s">
        <v>409</v>
      </c>
      <c r="D157" s="4" t="n">
        <v>29</v>
      </c>
      <c r="E157" s="4" t="s">
        <v>30</v>
      </c>
      <c r="F157" s="4" t="s">
        <v>77</v>
      </c>
      <c r="G157" s="4" t="s">
        <v>19</v>
      </c>
      <c r="H157" s="4" t="s">
        <v>72</v>
      </c>
      <c r="I157" s="4" t="s">
        <v>73</v>
      </c>
      <c r="J157" s="14" t="s">
        <v>65</v>
      </c>
      <c r="K157" s="4" t="n">
        <v>3</v>
      </c>
      <c r="L157" s="6" t="n">
        <v>44943.68</v>
      </c>
      <c r="M157" s="7" t="n">
        <v>77</v>
      </c>
    </row>
    <row r="158" customFormat="false" ht="15" hidden="false" customHeight="true" outlineLevel="0" collapsed="false">
      <c r="A158" s="8" t="s">
        <v>410</v>
      </c>
      <c r="B158" s="8" t="s">
        <v>43</v>
      </c>
      <c r="C158" s="8" t="s">
        <v>44</v>
      </c>
      <c r="D158" s="8" t="n">
        <v>45</v>
      </c>
      <c r="E158" s="8" t="s">
        <v>30</v>
      </c>
      <c r="F158" s="8" t="s">
        <v>18</v>
      </c>
      <c r="G158" s="8" t="s">
        <v>19</v>
      </c>
      <c r="H158" s="8" t="s">
        <v>26</v>
      </c>
      <c r="I158" s="8" t="s">
        <v>27</v>
      </c>
      <c r="J158" s="13" t="s">
        <v>56</v>
      </c>
      <c r="K158" s="8" t="n">
        <v>1</v>
      </c>
      <c r="L158" s="9" t="n">
        <v>74087.18</v>
      </c>
      <c r="M158" s="10" t="n">
        <v>97</v>
      </c>
    </row>
    <row r="159" customFormat="false" ht="15" hidden="false" customHeight="true" outlineLevel="0" collapsed="false">
      <c r="A159" s="4" t="s">
        <v>411</v>
      </c>
      <c r="B159" s="4" t="s">
        <v>143</v>
      </c>
      <c r="C159" s="4" t="s">
        <v>412</v>
      </c>
      <c r="D159" s="4" t="n">
        <v>36</v>
      </c>
      <c r="E159" s="4" t="s">
        <v>30</v>
      </c>
      <c r="F159" s="4" t="s">
        <v>31</v>
      </c>
      <c r="G159" s="4" t="s">
        <v>64</v>
      </c>
      <c r="H159" s="4" t="s">
        <v>72</v>
      </c>
      <c r="I159" s="4" t="s">
        <v>73</v>
      </c>
      <c r="J159" s="11" t="s">
        <v>35</v>
      </c>
      <c r="K159" s="4" t="n">
        <v>2</v>
      </c>
      <c r="L159" s="6" t="n">
        <v>6564.24</v>
      </c>
      <c r="M159" s="7" t="n">
        <v>80</v>
      </c>
    </row>
    <row r="160" customFormat="false" ht="15" hidden="false" customHeight="true" outlineLevel="0" collapsed="false">
      <c r="A160" s="8" t="s">
        <v>413</v>
      </c>
      <c r="B160" s="8" t="s">
        <v>196</v>
      </c>
      <c r="C160" s="8" t="s">
        <v>414</v>
      </c>
      <c r="D160" s="8" t="n">
        <v>72</v>
      </c>
      <c r="E160" s="8" t="s">
        <v>17</v>
      </c>
      <c r="F160" s="8" t="s">
        <v>81</v>
      </c>
      <c r="G160" s="8" t="s">
        <v>32</v>
      </c>
      <c r="H160" s="8" t="s">
        <v>72</v>
      </c>
      <c r="I160" s="8" t="s">
        <v>73</v>
      </c>
      <c r="J160" s="14" t="s">
        <v>65</v>
      </c>
      <c r="K160" s="8" t="n">
        <v>2</v>
      </c>
      <c r="L160" s="9" t="n">
        <v>37675.74</v>
      </c>
      <c r="M160" s="10" t="n">
        <v>82</v>
      </c>
    </row>
    <row r="161" customFormat="false" ht="15" hidden="false" customHeight="true" outlineLevel="0" collapsed="false">
      <c r="A161" s="4" t="s">
        <v>415</v>
      </c>
      <c r="B161" s="4" t="s">
        <v>416</v>
      </c>
      <c r="C161" s="4" t="s">
        <v>80</v>
      </c>
      <c r="D161" s="4" t="n">
        <v>32</v>
      </c>
      <c r="E161" s="4" t="s">
        <v>17</v>
      </c>
      <c r="F161" s="4" t="s">
        <v>31</v>
      </c>
      <c r="G161" s="4" t="s">
        <v>32</v>
      </c>
      <c r="H161" s="4" t="s">
        <v>88</v>
      </c>
      <c r="I161" s="4" t="s">
        <v>89</v>
      </c>
      <c r="J161" s="5" t="s">
        <v>22</v>
      </c>
      <c r="K161" s="4" t="n">
        <v>6</v>
      </c>
      <c r="L161" s="6" t="n">
        <v>10728.45</v>
      </c>
      <c r="M161" s="7" t="n">
        <v>90</v>
      </c>
    </row>
    <row r="162" customFormat="false" ht="15" hidden="false" customHeight="true" outlineLevel="0" collapsed="false">
      <c r="A162" s="8" t="s">
        <v>417</v>
      </c>
      <c r="B162" s="8" t="s">
        <v>355</v>
      </c>
      <c r="C162" s="8" t="s">
        <v>284</v>
      </c>
      <c r="D162" s="8" t="n">
        <v>33</v>
      </c>
      <c r="E162" s="8" t="s">
        <v>17</v>
      </c>
      <c r="F162" s="8" t="s">
        <v>77</v>
      </c>
      <c r="G162" s="8" t="s">
        <v>60</v>
      </c>
      <c r="H162" s="8" t="s">
        <v>40</v>
      </c>
      <c r="I162" s="8" t="s">
        <v>41</v>
      </c>
      <c r="J162" s="14" t="s">
        <v>65</v>
      </c>
      <c r="K162" s="8" t="n">
        <v>2</v>
      </c>
      <c r="L162" s="9" t="n">
        <v>24197.62</v>
      </c>
      <c r="M162" s="10" t="n">
        <v>75</v>
      </c>
    </row>
    <row r="163" customFormat="false" ht="15" hidden="false" customHeight="true" outlineLevel="0" collapsed="false">
      <c r="A163" s="4" t="s">
        <v>418</v>
      </c>
      <c r="B163" s="4" t="s">
        <v>145</v>
      </c>
      <c r="C163" s="4" t="s">
        <v>258</v>
      </c>
      <c r="D163" s="4" t="n">
        <v>47</v>
      </c>
      <c r="E163" s="4" t="s">
        <v>30</v>
      </c>
      <c r="F163" s="4" t="s">
        <v>31</v>
      </c>
      <c r="G163" s="4" t="s">
        <v>60</v>
      </c>
      <c r="H163" s="4" t="s">
        <v>114</v>
      </c>
      <c r="I163" s="4" t="s">
        <v>115</v>
      </c>
      <c r="J163" s="14" t="s">
        <v>65</v>
      </c>
      <c r="K163" s="4" t="n">
        <v>13</v>
      </c>
      <c r="L163" s="6" t="n">
        <v>61990.79</v>
      </c>
      <c r="M163" s="7" t="n">
        <v>84</v>
      </c>
    </row>
    <row r="164" customFormat="false" ht="15" hidden="false" customHeight="true" outlineLevel="0" collapsed="false">
      <c r="A164" s="8" t="s">
        <v>419</v>
      </c>
      <c r="B164" s="8" t="s">
        <v>123</v>
      </c>
      <c r="C164" s="8" t="s">
        <v>70</v>
      </c>
      <c r="D164" s="8" t="n">
        <v>22</v>
      </c>
      <c r="E164" s="8" t="s">
        <v>17</v>
      </c>
      <c r="F164" s="8" t="s">
        <v>31</v>
      </c>
      <c r="G164" s="8" t="s">
        <v>39</v>
      </c>
      <c r="H164" s="8" t="s">
        <v>114</v>
      </c>
      <c r="I164" s="8" t="s">
        <v>115</v>
      </c>
      <c r="J164" s="13" t="s">
        <v>56</v>
      </c>
      <c r="K164" s="8" t="n">
        <v>8</v>
      </c>
      <c r="L164" s="9" t="n">
        <v>52353.88</v>
      </c>
      <c r="M164" s="10" t="n">
        <v>95</v>
      </c>
    </row>
    <row r="165" customFormat="false" ht="15" hidden="false" customHeight="true" outlineLevel="0" collapsed="false">
      <c r="A165" s="4" t="s">
        <v>420</v>
      </c>
      <c r="B165" s="4" t="s">
        <v>104</v>
      </c>
      <c r="C165" s="4" t="s">
        <v>218</v>
      </c>
      <c r="D165" s="4" t="n">
        <v>37</v>
      </c>
      <c r="E165" s="4" t="s">
        <v>17</v>
      </c>
      <c r="F165" s="4" t="s">
        <v>77</v>
      </c>
      <c r="G165" s="4" t="s">
        <v>39</v>
      </c>
      <c r="H165" s="4" t="s">
        <v>20</v>
      </c>
      <c r="I165" s="4" t="s">
        <v>21</v>
      </c>
      <c r="J165" s="13" t="s">
        <v>56</v>
      </c>
      <c r="K165" s="4" t="n">
        <v>8</v>
      </c>
      <c r="L165" s="6" t="n">
        <v>7820.54</v>
      </c>
      <c r="M165" s="7" t="n">
        <v>81</v>
      </c>
    </row>
    <row r="166" customFormat="false" ht="15" hidden="false" customHeight="true" outlineLevel="0" collapsed="false">
      <c r="A166" s="8" t="s">
        <v>421</v>
      </c>
      <c r="B166" s="8" t="s">
        <v>44</v>
      </c>
      <c r="C166" s="8" t="s">
        <v>203</v>
      </c>
      <c r="D166" s="8" t="n">
        <v>50</v>
      </c>
      <c r="E166" s="8" t="s">
        <v>30</v>
      </c>
      <c r="F166" s="8" t="s">
        <v>18</v>
      </c>
      <c r="G166" s="8" t="s">
        <v>60</v>
      </c>
      <c r="H166" s="8" t="s">
        <v>51</v>
      </c>
      <c r="I166" s="8" t="s">
        <v>52</v>
      </c>
      <c r="J166" s="5" t="s">
        <v>22</v>
      </c>
      <c r="K166" s="8" t="n">
        <v>7</v>
      </c>
      <c r="L166" s="9" t="n">
        <v>48524.71</v>
      </c>
      <c r="M166" s="10" t="n">
        <v>100</v>
      </c>
    </row>
    <row r="167" customFormat="false" ht="15" hidden="false" customHeight="true" outlineLevel="0" collapsed="false">
      <c r="A167" s="4" t="s">
        <v>422</v>
      </c>
      <c r="B167" s="4" t="s">
        <v>95</v>
      </c>
      <c r="C167" s="4" t="s">
        <v>423</v>
      </c>
      <c r="D167" s="4" t="n">
        <v>56</v>
      </c>
      <c r="E167" s="4" t="s">
        <v>17</v>
      </c>
      <c r="F167" s="4" t="s">
        <v>31</v>
      </c>
      <c r="G167" s="4" t="s">
        <v>64</v>
      </c>
      <c r="H167" s="4" t="s">
        <v>88</v>
      </c>
      <c r="I167" s="4" t="s">
        <v>89</v>
      </c>
      <c r="J167" s="12" t="s">
        <v>47</v>
      </c>
      <c r="K167" s="4" t="n">
        <v>8</v>
      </c>
      <c r="L167" s="6" t="n">
        <v>16314.58</v>
      </c>
      <c r="M167" s="7" t="n">
        <v>71</v>
      </c>
    </row>
    <row r="168" customFormat="false" ht="15" hidden="false" customHeight="true" outlineLevel="0" collapsed="false">
      <c r="A168" s="8" t="s">
        <v>424</v>
      </c>
      <c r="B168" s="8" t="s">
        <v>425</v>
      </c>
      <c r="C168" s="8" t="s">
        <v>426</v>
      </c>
      <c r="D168" s="8" t="n">
        <v>59</v>
      </c>
      <c r="E168" s="8" t="s">
        <v>17</v>
      </c>
      <c r="F168" s="8" t="s">
        <v>31</v>
      </c>
      <c r="G168" s="8" t="s">
        <v>32</v>
      </c>
      <c r="H168" s="8" t="s">
        <v>101</v>
      </c>
      <c r="I168" s="8" t="s">
        <v>102</v>
      </c>
      <c r="J168" s="12" t="s">
        <v>47</v>
      </c>
      <c r="K168" s="8" t="n">
        <v>3</v>
      </c>
      <c r="L168" s="9" t="n">
        <v>23580.78</v>
      </c>
      <c r="M168" s="10" t="n">
        <v>84</v>
      </c>
    </row>
    <row r="169" customFormat="false" ht="15" hidden="false" customHeight="true" outlineLevel="0" collapsed="false">
      <c r="A169" s="4" t="s">
        <v>427</v>
      </c>
      <c r="B169" s="4" t="s">
        <v>428</v>
      </c>
      <c r="C169" s="4" t="s">
        <v>429</v>
      </c>
      <c r="D169" s="4" t="n">
        <v>42</v>
      </c>
      <c r="E169" s="4" t="s">
        <v>17</v>
      </c>
      <c r="F169" s="4" t="s">
        <v>31</v>
      </c>
      <c r="G169" s="4" t="s">
        <v>64</v>
      </c>
      <c r="H169" s="4" t="s">
        <v>45</v>
      </c>
      <c r="I169" s="4" t="s">
        <v>46</v>
      </c>
      <c r="J169" s="13" t="s">
        <v>56</v>
      </c>
      <c r="K169" s="4" t="n">
        <v>7</v>
      </c>
      <c r="L169" s="6" t="n">
        <v>55917.33</v>
      </c>
      <c r="M169" s="7" t="n">
        <v>71</v>
      </c>
    </row>
    <row r="170" customFormat="false" ht="15" hidden="false" customHeight="true" outlineLevel="0" collapsed="false">
      <c r="A170" s="8" t="s">
        <v>430</v>
      </c>
      <c r="B170" s="8" t="s">
        <v>63</v>
      </c>
      <c r="C170" s="8" t="s">
        <v>16</v>
      </c>
      <c r="D170" s="8" t="n">
        <v>61</v>
      </c>
      <c r="E170" s="8" t="s">
        <v>17</v>
      </c>
      <c r="F170" s="8" t="s">
        <v>31</v>
      </c>
      <c r="G170" s="8" t="s">
        <v>64</v>
      </c>
      <c r="H170" s="8" t="s">
        <v>101</v>
      </c>
      <c r="I170" s="8" t="s">
        <v>102</v>
      </c>
      <c r="J170" s="14" t="s">
        <v>65</v>
      </c>
      <c r="K170" s="8" t="n">
        <v>7</v>
      </c>
      <c r="L170" s="9" t="n">
        <v>23899.68</v>
      </c>
      <c r="M170" s="10" t="n">
        <v>97</v>
      </c>
    </row>
    <row r="171" customFormat="false" ht="15" hidden="false" customHeight="true" outlineLevel="0" collapsed="false">
      <c r="A171" s="4" t="s">
        <v>431</v>
      </c>
      <c r="B171" s="4" t="s">
        <v>248</v>
      </c>
      <c r="C171" s="4" t="s">
        <v>399</v>
      </c>
      <c r="D171" s="4" t="n">
        <v>60</v>
      </c>
      <c r="E171" s="4" t="s">
        <v>17</v>
      </c>
      <c r="F171" s="4" t="s">
        <v>18</v>
      </c>
      <c r="G171" s="4" t="s">
        <v>64</v>
      </c>
      <c r="H171" s="4" t="s">
        <v>51</v>
      </c>
      <c r="I171" s="4" t="s">
        <v>52</v>
      </c>
      <c r="J171" s="12" t="s">
        <v>47</v>
      </c>
      <c r="K171" s="4" t="n">
        <v>3</v>
      </c>
      <c r="L171" s="6" t="n">
        <v>28267.38</v>
      </c>
      <c r="M171" s="7" t="n">
        <v>90</v>
      </c>
    </row>
    <row r="172" customFormat="false" ht="15" hidden="false" customHeight="true" outlineLevel="0" collapsed="false">
      <c r="A172" s="8" t="s">
        <v>432</v>
      </c>
      <c r="B172" s="8" t="s">
        <v>380</v>
      </c>
      <c r="C172" s="8" t="s">
        <v>433</v>
      </c>
      <c r="D172" s="8" t="n">
        <v>53</v>
      </c>
      <c r="E172" s="8" t="s">
        <v>17</v>
      </c>
      <c r="F172" s="8" t="s">
        <v>81</v>
      </c>
      <c r="G172" s="8" t="s">
        <v>39</v>
      </c>
      <c r="H172" s="8" t="s">
        <v>45</v>
      </c>
      <c r="I172" s="8" t="s">
        <v>46</v>
      </c>
      <c r="J172" s="11" t="s">
        <v>35</v>
      </c>
      <c r="K172" s="8" t="n">
        <v>7</v>
      </c>
      <c r="L172" s="9" t="n">
        <v>64374.65</v>
      </c>
      <c r="M172" s="10" t="n">
        <v>96</v>
      </c>
    </row>
    <row r="173" customFormat="false" ht="15" hidden="false" customHeight="true" outlineLevel="0" collapsed="false">
      <c r="A173" s="4" t="s">
        <v>434</v>
      </c>
      <c r="B173" s="4" t="s">
        <v>328</v>
      </c>
      <c r="C173" s="4" t="s">
        <v>435</v>
      </c>
      <c r="D173" s="4" t="n">
        <v>19</v>
      </c>
      <c r="E173" s="4" t="s">
        <v>30</v>
      </c>
      <c r="F173" s="4" t="s">
        <v>50</v>
      </c>
      <c r="G173" s="4" t="s">
        <v>60</v>
      </c>
      <c r="H173" s="4" t="s">
        <v>88</v>
      </c>
      <c r="I173" s="4" t="s">
        <v>89</v>
      </c>
      <c r="J173" s="13" t="s">
        <v>56</v>
      </c>
      <c r="K173" s="4" t="n">
        <v>6</v>
      </c>
      <c r="L173" s="6" t="n">
        <v>18519.72</v>
      </c>
      <c r="M173" s="7" t="n">
        <v>76</v>
      </c>
    </row>
    <row r="174" customFormat="false" ht="15" hidden="false" customHeight="true" outlineLevel="0" collapsed="false">
      <c r="A174" s="8" t="s">
        <v>436</v>
      </c>
      <c r="B174" s="8" t="s">
        <v>130</v>
      </c>
      <c r="C174" s="8" t="s">
        <v>330</v>
      </c>
      <c r="D174" s="8" t="n">
        <v>27</v>
      </c>
      <c r="E174" s="8" t="s">
        <v>17</v>
      </c>
      <c r="F174" s="8" t="s">
        <v>31</v>
      </c>
      <c r="G174" s="8" t="s">
        <v>39</v>
      </c>
      <c r="H174" s="8" t="s">
        <v>40</v>
      </c>
      <c r="I174" s="8" t="s">
        <v>41</v>
      </c>
      <c r="J174" s="14" t="s">
        <v>65</v>
      </c>
      <c r="K174" s="8" t="n">
        <v>2</v>
      </c>
      <c r="L174" s="9" t="n">
        <v>68332.13</v>
      </c>
      <c r="M174" s="10" t="n">
        <v>73</v>
      </c>
    </row>
    <row r="175" customFormat="false" ht="15" hidden="false" customHeight="true" outlineLevel="0" collapsed="false">
      <c r="A175" s="4" t="s">
        <v>437</v>
      </c>
      <c r="B175" s="4" t="s">
        <v>362</v>
      </c>
      <c r="C175" s="4" t="s">
        <v>438</v>
      </c>
      <c r="D175" s="4" t="n">
        <v>56</v>
      </c>
      <c r="E175" s="4" t="s">
        <v>17</v>
      </c>
      <c r="F175" s="4" t="s">
        <v>81</v>
      </c>
      <c r="G175" s="4" t="s">
        <v>64</v>
      </c>
      <c r="H175" s="4" t="s">
        <v>40</v>
      </c>
      <c r="I175" s="4" t="s">
        <v>41</v>
      </c>
      <c r="J175" s="14" t="s">
        <v>65</v>
      </c>
      <c r="K175" s="4" t="n">
        <v>7</v>
      </c>
      <c r="L175" s="6" t="n">
        <v>17168.54</v>
      </c>
      <c r="M175" s="7" t="n">
        <v>96</v>
      </c>
    </row>
    <row r="176" customFormat="false" ht="15" hidden="false" customHeight="true" outlineLevel="0" collapsed="false">
      <c r="A176" s="8" t="s">
        <v>439</v>
      </c>
      <c r="B176" s="8" t="s">
        <v>109</v>
      </c>
      <c r="C176" s="8" t="s">
        <v>440</v>
      </c>
      <c r="D176" s="8" t="n">
        <v>41</v>
      </c>
      <c r="E176" s="8" t="s">
        <v>30</v>
      </c>
      <c r="F176" s="8" t="s">
        <v>50</v>
      </c>
      <c r="G176" s="8" t="s">
        <v>39</v>
      </c>
      <c r="H176" s="8" t="s">
        <v>72</v>
      </c>
      <c r="I176" s="8" t="s">
        <v>73</v>
      </c>
      <c r="J176" s="13" t="s">
        <v>56</v>
      </c>
      <c r="K176" s="8" t="n">
        <v>11</v>
      </c>
      <c r="L176" s="9" t="n">
        <v>77719.15</v>
      </c>
      <c r="M176" s="10" t="n">
        <v>89</v>
      </c>
    </row>
    <row r="177" customFormat="false" ht="15" hidden="false" customHeight="true" outlineLevel="0" collapsed="false">
      <c r="A177" s="4" t="s">
        <v>441</v>
      </c>
      <c r="B177" s="4" t="s">
        <v>105</v>
      </c>
      <c r="C177" s="4" t="s">
        <v>216</v>
      </c>
      <c r="D177" s="4" t="n">
        <v>37</v>
      </c>
      <c r="E177" s="4" t="s">
        <v>30</v>
      </c>
      <c r="F177" s="4" t="s">
        <v>81</v>
      </c>
      <c r="G177" s="4" t="s">
        <v>32</v>
      </c>
      <c r="H177" s="4" t="s">
        <v>33</v>
      </c>
      <c r="I177" s="4" t="s">
        <v>34</v>
      </c>
      <c r="J177" s="13" t="s">
        <v>56</v>
      </c>
      <c r="K177" s="4" t="n">
        <v>13</v>
      </c>
      <c r="L177" s="6" t="n">
        <v>72798.08</v>
      </c>
      <c r="M177" s="7" t="n">
        <v>76</v>
      </c>
    </row>
    <row r="178" customFormat="false" ht="15" hidden="false" customHeight="true" outlineLevel="0" collapsed="false">
      <c r="A178" s="8" t="s">
        <v>442</v>
      </c>
      <c r="B178" s="8" t="s">
        <v>443</v>
      </c>
      <c r="C178" s="8" t="s">
        <v>444</v>
      </c>
      <c r="D178" s="8" t="n">
        <v>50</v>
      </c>
      <c r="E178" s="8" t="s">
        <v>17</v>
      </c>
      <c r="F178" s="8" t="s">
        <v>31</v>
      </c>
      <c r="G178" s="8" t="s">
        <v>64</v>
      </c>
      <c r="H178" s="8" t="s">
        <v>72</v>
      </c>
      <c r="I178" s="8" t="s">
        <v>73</v>
      </c>
      <c r="J178" s="11" t="s">
        <v>35</v>
      </c>
      <c r="K178" s="8" t="n">
        <v>9</v>
      </c>
      <c r="L178" s="9" t="n">
        <v>77470.11</v>
      </c>
      <c r="M178" s="10" t="n">
        <v>96</v>
      </c>
    </row>
    <row r="179" customFormat="false" ht="15" hidden="false" customHeight="true" outlineLevel="0" collapsed="false">
      <c r="A179" s="4" t="s">
        <v>445</v>
      </c>
      <c r="B179" s="4" t="s">
        <v>153</v>
      </c>
      <c r="C179" s="4" t="s">
        <v>368</v>
      </c>
      <c r="D179" s="4" t="n">
        <v>73</v>
      </c>
      <c r="E179" s="4" t="s">
        <v>17</v>
      </c>
      <c r="F179" s="4" t="s">
        <v>31</v>
      </c>
      <c r="G179" s="4" t="s">
        <v>64</v>
      </c>
      <c r="H179" s="4" t="s">
        <v>114</v>
      </c>
      <c r="I179" s="4" t="s">
        <v>115</v>
      </c>
      <c r="J179" s="14" t="s">
        <v>65</v>
      </c>
      <c r="K179" s="4" t="n">
        <v>6</v>
      </c>
      <c r="L179" s="6" t="n">
        <v>75072.02</v>
      </c>
      <c r="M179" s="7" t="n">
        <v>92</v>
      </c>
    </row>
    <row r="180" customFormat="false" ht="15" hidden="false" customHeight="true" outlineLevel="0" collapsed="false">
      <c r="A180" s="8" t="s">
        <v>446</v>
      </c>
      <c r="B180" s="8" t="s">
        <v>447</v>
      </c>
      <c r="C180" s="8" t="s">
        <v>92</v>
      </c>
      <c r="D180" s="8" t="n">
        <v>35</v>
      </c>
      <c r="E180" s="8" t="s">
        <v>17</v>
      </c>
      <c r="F180" s="8" t="s">
        <v>81</v>
      </c>
      <c r="G180" s="8" t="s">
        <v>32</v>
      </c>
      <c r="H180" s="8" t="s">
        <v>40</v>
      </c>
      <c r="I180" s="8" t="s">
        <v>41</v>
      </c>
      <c r="J180" s="5" t="s">
        <v>22</v>
      </c>
      <c r="K180" s="8" t="n">
        <v>8</v>
      </c>
      <c r="L180" s="9" t="n">
        <v>16051.15</v>
      </c>
      <c r="M180" s="10" t="n">
        <v>83</v>
      </c>
    </row>
    <row r="181" customFormat="false" ht="15" hidden="false" customHeight="true" outlineLevel="0" collapsed="false">
      <c r="A181" s="4" t="s">
        <v>448</v>
      </c>
      <c r="B181" s="4" t="s">
        <v>142</v>
      </c>
      <c r="C181" s="4" t="s">
        <v>449</v>
      </c>
      <c r="D181" s="4" t="n">
        <v>44</v>
      </c>
      <c r="E181" s="4" t="s">
        <v>17</v>
      </c>
      <c r="F181" s="4" t="s">
        <v>31</v>
      </c>
      <c r="G181" s="4" t="s">
        <v>60</v>
      </c>
      <c r="H181" s="4" t="s">
        <v>26</v>
      </c>
      <c r="I181" s="4" t="s">
        <v>27</v>
      </c>
      <c r="J181" s="12" t="s">
        <v>47</v>
      </c>
      <c r="K181" s="4" t="n">
        <v>1</v>
      </c>
      <c r="L181" s="6" t="n">
        <v>42650.53</v>
      </c>
      <c r="M181" s="7" t="n">
        <v>77</v>
      </c>
    </row>
    <row r="182" customFormat="false" ht="15" hidden="false" customHeight="true" outlineLevel="0" collapsed="false">
      <c r="A182" s="8" t="s">
        <v>450</v>
      </c>
      <c r="B182" s="8" t="s">
        <v>451</v>
      </c>
      <c r="C182" s="8" t="s">
        <v>150</v>
      </c>
      <c r="D182" s="8" t="n">
        <v>38</v>
      </c>
      <c r="E182" s="8" t="s">
        <v>17</v>
      </c>
      <c r="F182" s="8" t="s">
        <v>31</v>
      </c>
      <c r="G182" s="8" t="s">
        <v>19</v>
      </c>
      <c r="H182" s="8" t="s">
        <v>26</v>
      </c>
      <c r="I182" s="8" t="s">
        <v>27</v>
      </c>
      <c r="J182" s="11" t="s">
        <v>35</v>
      </c>
      <c r="K182" s="8" t="n">
        <v>2</v>
      </c>
      <c r="L182" s="9" t="n">
        <v>30146.78</v>
      </c>
      <c r="M182" s="10" t="n">
        <v>74</v>
      </c>
    </row>
    <row r="183" customFormat="false" ht="15" hidden="false" customHeight="true" outlineLevel="0" collapsed="false">
      <c r="A183" s="4" t="s">
        <v>452</v>
      </c>
      <c r="B183" s="4" t="s">
        <v>105</v>
      </c>
      <c r="C183" s="4" t="s">
        <v>290</v>
      </c>
      <c r="D183" s="4" t="n">
        <v>66</v>
      </c>
      <c r="E183" s="4" t="s">
        <v>17</v>
      </c>
      <c r="F183" s="4" t="s">
        <v>31</v>
      </c>
      <c r="G183" s="4" t="s">
        <v>60</v>
      </c>
      <c r="H183" s="4" t="s">
        <v>40</v>
      </c>
      <c r="I183" s="4" t="s">
        <v>41</v>
      </c>
      <c r="J183" s="5" t="s">
        <v>22</v>
      </c>
      <c r="K183" s="4" t="n">
        <v>12</v>
      </c>
      <c r="L183" s="6" t="n">
        <v>38645.11</v>
      </c>
      <c r="M183" s="7" t="n">
        <v>70</v>
      </c>
    </row>
    <row r="184" customFormat="false" ht="15" hidden="false" customHeight="true" outlineLevel="0" collapsed="false">
      <c r="A184" s="8" t="s">
        <v>453</v>
      </c>
      <c r="B184" s="8" t="s">
        <v>454</v>
      </c>
      <c r="C184" s="8" t="s">
        <v>349</v>
      </c>
      <c r="D184" s="8" t="n">
        <v>53</v>
      </c>
      <c r="E184" s="8" t="s">
        <v>17</v>
      </c>
      <c r="F184" s="8" t="s">
        <v>31</v>
      </c>
      <c r="G184" s="8" t="s">
        <v>64</v>
      </c>
      <c r="H184" s="8" t="s">
        <v>40</v>
      </c>
      <c r="I184" s="8" t="s">
        <v>41</v>
      </c>
      <c r="J184" s="13" t="s">
        <v>56</v>
      </c>
      <c r="K184" s="8" t="n">
        <v>12</v>
      </c>
      <c r="L184" s="9" t="n">
        <v>44582.86</v>
      </c>
      <c r="M184" s="10" t="n">
        <v>73</v>
      </c>
    </row>
    <row r="185" customFormat="false" ht="15" hidden="false" customHeight="true" outlineLevel="0" collapsed="false">
      <c r="A185" s="4" t="s">
        <v>455</v>
      </c>
      <c r="B185" s="4" t="s">
        <v>456</v>
      </c>
      <c r="C185" s="4" t="s">
        <v>150</v>
      </c>
      <c r="D185" s="4" t="n">
        <v>33</v>
      </c>
      <c r="E185" s="4" t="s">
        <v>17</v>
      </c>
      <c r="F185" s="4" t="s">
        <v>81</v>
      </c>
      <c r="G185" s="4" t="s">
        <v>39</v>
      </c>
      <c r="H185" s="4" t="s">
        <v>26</v>
      </c>
      <c r="I185" s="4" t="s">
        <v>27</v>
      </c>
      <c r="J185" s="5" t="s">
        <v>22</v>
      </c>
      <c r="K185" s="4" t="n">
        <v>7</v>
      </c>
      <c r="L185" s="6" t="n">
        <v>64542.43</v>
      </c>
      <c r="M185" s="7" t="n">
        <v>84</v>
      </c>
    </row>
    <row r="186" customFormat="false" ht="15" hidden="false" customHeight="true" outlineLevel="0" collapsed="false">
      <c r="A186" s="8" t="s">
        <v>457</v>
      </c>
      <c r="B186" s="8" t="s">
        <v>458</v>
      </c>
      <c r="C186" s="8" t="s">
        <v>459</v>
      </c>
      <c r="D186" s="8" t="n">
        <v>19</v>
      </c>
      <c r="E186" s="8" t="s">
        <v>30</v>
      </c>
      <c r="F186" s="8" t="s">
        <v>81</v>
      </c>
      <c r="G186" s="8" t="s">
        <v>64</v>
      </c>
      <c r="H186" s="8" t="s">
        <v>101</v>
      </c>
      <c r="I186" s="8" t="s">
        <v>102</v>
      </c>
      <c r="J186" s="11" t="s">
        <v>35</v>
      </c>
      <c r="K186" s="8" t="n">
        <v>11</v>
      </c>
      <c r="L186" s="9" t="n">
        <v>48128.56</v>
      </c>
      <c r="M186" s="10" t="n">
        <v>92</v>
      </c>
    </row>
    <row r="187" customFormat="false" ht="15" hidden="false" customHeight="true" outlineLevel="0" collapsed="false">
      <c r="A187" s="4" t="s">
        <v>460</v>
      </c>
      <c r="B187" s="4" t="s">
        <v>461</v>
      </c>
      <c r="C187" s="4" t="s">
        <v>462</v>
      </c>
      <c r="D187" s="4" t="n">
        <v>40</v>
      </c>
      <c r="E187" s="4" t="s">
        <v>30</v>
      </c>
      <c r="F187" s="4" t="s">
        <v>77</v>
      </c>
      <c r="G187" s="4" t="s">
        <v>39</v>
      </c>
      <c r="H187" s="4" t="s">
        <v>51</v>
      </c>
      <c r="I187" s="4" t="s">
        <v>52</v>
      </c>
      <c r="J187" s="5" t="s">
        <v>22</v>
      </c>
      <c r="K187" s="4" t="n">
        <v>4</v>
      </c>
      <c r="L187" s="6" t="n">
        <v>36242.57</v>
      </c>
      <c r="M187" s="7" t="n">
        <v>91</v>
      </c>
    </row>
    <row r="188" customFormat="false" ht="15" hidden="false" customHeight="true" outlineLevel="0" collapsed="false">
      <c r="A188" s="8" t="s">
        <v>463</v>
      </c>
      <c r="B188" s="8" t="s">
        <v>91</v>
      </c>
      <c r="C188" s="8" t="s">
        <v>316</v>
      </c>
      <c r="D188" s="8" t="n">
        <v>50</v>
      </c>
      <c r="E188" s="8" t="s">
        <v>17</v>
      </c>
      <c r="F188" s="8" t="s">
        <v>81</v>
      </c>
      <c r="G188" s="8" t="s">
        <v>32</v>
      </c>
      <c r="H188" s="8" t="s">
        <v>101</v>
      </c>
      <c r="I188" s="8" t="s">
        <v>102</v>
      </c>
      <c r="J188" s="12" t="s">
        <v>47</v>
      </c>
      <c r="K188" s="8" t="n">
        <v>13</v>
      </c>
      <c r="L188" s="9" t="n">
        <v>46561.4</v>
      </c>
      <c r="M188" s="10" t="n">
        <v>82</v>
      </c>
    </row>
    <row r="189" customFormat="false" ht="15" hidden="false" customHeight="true" outlineLevel="0" collapsed="false">
      <c r="A189" s="4" t="s">
        <v>464</v>
      </c>
      <c r="B189" s="4" t="s">
        <v>399</v>
      </c>
      <c r="C189" s="4" t="s">
        <v>465</v>
      </c>
      <c r="D189" s="4" t="n">
        <v>65</v>
      </c>
      <c r="E189" s="4" t="s">
        <v>17</v>
      </c>
      <c r="F189" s="4" t="s">
        <v>18</v>
      </c>
      <c r="G189" s="4" t="s">
        <v>32</v>
      </c>
      <c r="H189" s="4" t="s">
        <v>45</v>
      </c>
      <c r="I189" s="4" t="s">
        <v>46</v>
      </c>
      <c r="J189" s="11" t="s">
        <v>35</v>
      </c>
      <c r="K189" s="4" t="n">
        <v>1</v>
      </c>
      <c r="L189" s="6" t="n">
        <v>64139</v>
      </c>
      <c r="M189" s="7" t="n">
        <v>81</v>
      </c>
    </row>
    <row r="190" customFormat="false" ht="15" hidden="false" customHeight="true" outlineLevel="0" collapsed="false">
      <c r="A190" s="8" t="s">
        <v>466</v>
      </c>
      <c r="B190" s="8" t="s">
        <v>467</v>
      </c>
      <c r="C190" s="8" t="s">
        <v>154</v>
      </c>
      <c r="D190" s="8" t="n">
        <v>20</v>
      </c>
      <c r="E190" s="8" t="s">
        <v>30</v>
      </c>
      <c r="F190" s="8" t="s">
        <v>81</v>
      </c>
      <c r="G190" s="8" t="s">
        <v>60</v>
      </c>
      <c r="H190" s="8" t="s">
        <v>40</v>
      </c>
      <c r="I190" s="8" t="s">
        <v>41</v>
      </c>
      <c r="J190" s="11" t="s">
        <v>35</v>
      </c>
      <c r="K190" s="8" t="n">
        <v>6</v>
      </c>
      <c r="L190" s="9" t="n">
        <v>30391.04</v>
      </c>
      <c r="M190" s="10" t="n">
        <v>90</v>
      </c>
    </row>
    <row r="191" customFormat="false" ht="15" hidden="false" customHeight="true" outlineLevel="0" collapsed="false">
      <c r="A191" s="4" t="s">
        <v>468</v>
      </c>
      <c r="B191" s="4" t="s">
        <v>70</v>
      </c>
      <c r="C191" s="4" t="s">
        <v>282</v>
      </c>
      <c r="D191" s="4" t="n">
        <v>22</v>
      </c>
      <c r="E191" s="4" t="s">
        <v>17</v>
      </c>
      <c r="F191" s="4" t="s">
        <v>77</v>
      </c>
      <c r="G191" s="4" t="s">
        <v>32</v>
      </c>
      <c r="H191" s="4" t="s">
        <v>40</v>
      </c>
      <c r="I191" s="4" t="s">
        <v>41</v>
      </c>
      <c r="J191" s="5" t="s">
        <v>22</v>
      </c>
      <c r="K191" s="4" t="n">
        <v>12</v>
      </c>
      <c r="L191" s="6" t="n">
        <v>7773.78</v>
      </c>
      <c r="M191" s="7" t="n">
        <v>76</v>
      </c>
    </row>
    <row r="192" customFormat="false" ht="15" hidden="false" customHeight="true" outlineLevel="0" collapsed="false">
      <c r="A192" s="8" t="s">
        <v>469</v>
      </c>
      <c r="B192" s="8" t="s">
        <v>470</v>
      </c>
      <c r="C192" s="8" t="s">
        <v>154</v>
      </c>
      <c r="D192" s="8" t="n">
        <v>50</v>
      </c>
      <c r="E192" s="8" t="s">
        <v>30</v>
      </c>
      <c r="F192" s="8" t="s">
        <v>31</v>
      </c>
      <c r="G192" s="8" t="s">
        <v>64</v>
      </c>
      <c r="H192" s="8" t="s">
        <v>45</v>
      </c>
      <c r="I192" s="8" t="s">
        <v>46</v>
      </c>
      <c r="J192" s="11" t="s">
        <v>35</v>
      </c>
      <c r="K192" s="8" t="n">
        <v>7</v>
      </c>
      <c r="L192" s="9" t="n">
        <v>40504.98</v>
      </c>
      <c r="M192" s="10" t="n">
        <v>71</v>
      </c>
    </row>
    <row r="193" customFormat="false" ht="15" hidden="false" customHeight="true" outlineLevel="0" collapsed="false">
      <c r="A193" s="4" t="s">
        <v>471</v>
      </c>
      <c r="B193" s="4" t="s">
        <v>472</v>
      </c>
      <c r="C193" s="4" t="s">
        <v>390</v>
      </c>
      <c r="D193" s="4" t="n">
        <v>35</v>
      </c>
      <c r="E193" s="4" t="s">
        <v>30</v>
      </c>
      <c r="F193" s="4" t="s">
        <v>31</v>
      </c>
      <c r="G193" s="4" t="s">
        <v>60</v>
      </c>
      <c r="H193" s="4" t="s">
        <v>88</v>
      </c>
      <c r="I193" s="4" t="s">
        <v>89</v>
      </c>
      <c r="J193" s="12" t="s">
        <v>47</v>
      </c>
      <c r="K193" s="4" t="n">
        <v>2</v>
      </c>
      <c r="L193" s="6" t="n">
        <v>37771.35</v>
      </c>
      <c r="M193" s="7" t="n">
        <v>82</v>
      </c>
    </row>
    <row r="194" customFormat="false" ht="15" hidden="false" customHeight="true" outlineLevel="0" collapsed="false">
      <c r="A194" s="8" t="s">
        <v>473</v>
      </c>
      <c r="B194" s="8" t="s">
        <v>472</v>
      </c>
      <c r="C194" s="8" t="s">
        <v>474</v>
      </c>
      <c r="D194" s="8" t="n">
        <v>62</v>
      </c>
      <c r="E194" s="8" t="s">
        <v>17</v>
      </c>
      <c r="F194" s="8" t="s">
        <v>81</v>
      </c>
      <c r="G194" s="8" t="s">
        <v>64</v>
      </c>
      <c r="H194" s="8" t="s">
        <v>114</v>
      </c>
      <c r="I194" s="8" t="s">
        <v>115</v>
      </c>
      <c r="J194" s="13" t="s">
        <v>56</v>
      </c>
      <c r="K194" s="8" t="n">
        <v>8</v>
      </c>
      <c r="L194" s="9" t="n">
        <v>74323.28</v>
      </c>
      <c r="M194" s="10" t="n">
        <v>86</v>
      </c>
    </row>
    <row r="195" customFormat="false" ht="15" hidden="false" customHeight="true" outlineLevel="0" collapsed="false">
      <c r="A195" s="4" t="s">
        <v>475</v>
      </c>
      <c r="B195" s="4" t="s">
        <v>80</v>
      </c>
      <c r="C195" s="4" t="s">
        <v>228</v>
      </c>
      <c r="D195" s="4" t="n">
        <v>56</v>
      </c>
      <c r="E195" s="4" t="s">
        <v>17</v>
      </c>
      <c r="F195" s="4" t="s">
        <v>31</v>
      </c>
      <c r="G195" s="4" t="s">
        <v>32</v>
      </c>
      <c r="H195" s="4" t="s">
        <v>72</v>
      </c>
      <c r="I195" s="4" t="s">
        <v>73</v>
      </c>
      <c r="J195" s="5" t="s">
        <v>22</v>
      </c>
      <c r="K195" s="4" t="n">
        <v>14</v>
      </c>
      <c r="L195" s="6" t="n">
        <v>45910.58</v>
      </c>
      <c r="M195" s="7" t="n">
        <v>80</v>
      </c>
    </row>
    <row r="196" customFormat="false" ht="15" hidden="false" customHeight="true" outlineLevel="0" collapsed="false">
      <c r="A196" s="8" t="s">
        <v>476</v>
      </c>
      <c r="B196" s="8" t="s">
        <v>477</v>
      </c>
      <c r="C196" s="8" t="s">
        <v>124</v>
      </c>
      <c r="D196" s="8" t="n">
        <v>46</v>
      </c>
      <c r="E196" s="8" t="s">
        <v>30</v>
      </c>
      <c r="F196" s="8" t="s">
        <v>77</v>
      </c>
      <c r="G196" s="8" t="s">
        <v>32</v>
      </c>
      <c r="H196" s="8" t="s">
        <v>45</v>
      </c>
      <c r="I196" s="8" t="s">
        <v>46</v>
      </c>
      <c r="J196" s="13" t="s">
        <v>56</v>
      </c>
      <c r="K196" s="8" t="n">
        <v>10</v>
      </c>
      <c r="L196" s="9" t="n">
        <v>17498.36</v>
      </c>
      <c r="M196" s="10" t="n">
        <v>84</v>
      </c>
    </row>
    <row r="197" customFormat="false" ht="15" hidden="false" customHeight="true" outlineLevel="0" collapsed="false">
      <c r="A197" s="4" t="s">
        <v>478</v>
      </c>
      <c r="B197" s="4" t="s">
        <v>456</v>
      </c>
      <c r="C197" s="4" t="s">
        <v>451</v>
      </c>
      <c r="D197" s="4" t="n">
        <v>45</v>
      </c>
      <c r="E197" s="4" t="s">
        <v>17</v>
      </c>
      <c r="F197" s="4" t="s">
        <v>81</v>
      </c>
      <c r="G197" s="4" t="s">
        <v>32</v>
      </c>
      <c r="H197" s="4" t="s">
        <v>51</v>
      </c>
      <c r="I197" s="4" t="s">
        <v>52</v>
      </c>
      <c r="J197" s="5" t="s">
        <v>22</v>
      </c>
      <c r="K197" s="4" t="n">
        <v>5</v>
      </c>
      <c r="L197" s="6" t="n">
        <v>78502.05</v>
      </c>
      <c r="M197" s="7" t="n">
        <v>100</v>
      </c>
    </row>
    <row r="198" customFormat="false" ht="15" hidden="false" customHeight="true" outlineLevel="0" collapsed="false">
      <c r="A198" s="8" t="s">
        <v>479</v>
      </c>
      <c r="B198" s="8" t="s">
        <v>151</v>
      </c>
      <c r="C198" s="8" t="s">
        <v>58</v>
      </c>
      <c r="D198" s="8" t="n">
        <v>69</v>
      </c>
      <c r="E198" s="8" t="s">
        <v>30</v>
      </c>
      <c r="F198" s="8" t="s">
        <v>77</v>
      </c>
      <c r="G198" s="8" t="s">
        <v>60</v>
      </c>
      <c r="H198" s="8" t="s">
        <v>101</v>
      </c>
      <c r="I198" s="8" t="s">
        <v>102</v>
      </c>
      <c r="J198" s="11" t="s">
        <v>35</v>
      </c>
      <c r="K198" s="8" t="n">
        <v>12</v>
      </c>
      <c r="L198" s="9" t="n">
        <v>16999</v>
      </c>
      <c r="M198" s="10" t="n">
        <v>70</v>
      </c>
    </row>
    <row r="199" customFormat="false" ht="15" hidden="false" customHeight="true" outlineLevel="0" collapsed="false">
      <c r="A199" s="4" t="s">
        <v>480</v>
      </c>
      <c r="B199" s="4" t="s">
        <v>481</v>
      </c>
      <c r="C199" s="4" t="s">
        <v>482</v>
      </c>
      <c r="D199" s="4" t="n">
        <v>33</v>
      </c>
      <c r="E199" s="4" t="s">
        <v>17</v>
      </c>
      <c r="F199" s="4" t="s">
        <v>18</v>
      </c>
      <c r="G199" s="4" t="s">
        <v>60</v>
      </c>
      <c r="H199" s="4" t="s">
        <v>20</v>
      </c>
      <c r="I199" s="4" t="s">
        <v>21</v>
      </c>
      <c r="J199" s="14" t="s">
        <v>65</v>
      </c>
      <c r="K199" s="4" t="n">
        <v>13</v>
      </c>
      <c r="L199" s="6" t="n">
        <v>32474.64</v>
      </c>
      <c r="M199" s="7" t="n">
        <v>82</v>
      </c>
    </row>
    <row r="200" customFormat="false" ht="15" hidden="false" customHeight="true" outlineLevel="0" collapsed="false">
      <c r="A200" s="8" t="s">
        <v>483</v>
      </c>
      <c r="B200" s="8" t="s">
        <v>390</v>
      </c>
      <c r="C200" s="8" t="s">
        <v>474</v>
      </c>
      <c r="D200" s="8" t="n">
        <v>78</v>
      </c>
      <c r="E200" s="8" t="s">
        <v>17</v>
      </c>
      <c r="F200" s="8" t="s">
        <v>18</v>
      </c>
      <c r="G200" s="8" t="s">
        <v>32</v>
      </c>
      <c r="H200" s="8" t="s">
        <v>114</v>
      </c>
      <c r="I200" s="8" t="s">
        <v>115</v>
      </c>
      <c r="J200" s="14" t="s">
        <v>65</v>
      </c>
      <c r="K200" s="8" t="n">
        <v>6</v>
      </c>
      <c r="L200" s="9" t="n">
        <v>38295.45</v>
      </c>
      <c r="M200" s="10" t="n">
        <v>72</v>
      </c>
    </row>
    <row r="201" customFormat="false" ht="15" hidden="false" customHeight="true" outlineLevel="0" collapsed="false">
      <c r="A201" s="4" t="s">
        <v>484</v>
      </c>
      <c r="B201" s="4" t="s">
        <v>29</v>
      </c>
      <c r="C201" s="4" t="s">
        <v>330</v>
      </c>
      <c r="D201" s="4" t="n">
        <v>38</v>
      </c>
      <c r="E201" s="4" t="s">
        <v>17</v>
      </c>
      <c r="F201" s="4" t="s">
        <v>81</v>
      </c>
      <c r="G201" s="4" t="s">
        <v>39</v>
      </c>
      <c r="H201" s="4" t="s">
        <v>72</v>
      </c>
      <c r="I201" s="4" t="s">
        <v>73</v>
      </c>
      <c r="J201" s="5" t="s">
        <v>22</v>
      </c>
      <c r="K201" s="4" t="n">
        <v>11</v>
      </c>
      <c r="L201" s="6" t="n">
        <v>23720.87</v>
      </c>
      <c r="M201" s="7" t="n">
        <v>73</v>
      </c>
    </row>
    <row r="202" customFormat="false" ht="15" hidden="false" customHeight="true" outlineLevel="0" collapsed="false">
      <c r="A202" s="8" t="s">
        <v>485</v>
      </c>
      <c r="B202" s="8" t="s">
        <v>272</v>
      </c>
      <c r="C202" s="8" t="s">
        <v>361</v>
      </c>
      <c r="D202" s="8" t="n">
        <v>76</v>
      </c>
      <c r="E202" s="8" t="s">
        <v>17</v>
      </c>
      <c r="F202" s="8" t="s">
        <v>18</v>
      </c>
      <c r="G202" s="8" t="s">
        <v>32</v>
      </c>
      <c r="H202" s="8" t="s">
        <v>72</v>
      </c>
      <c r="I202" s="8" t="s">
        <v>73</v>
      </c>
      <c r="J202" s="12" t="s">
        <v>47</v>
      </c>
      <c r="K202" s="8" t="n">
        <v>9</v>
      </c>
      <c r="L202" s="9" t="n">
        <v>24633.25</v>
      </c>
      <c r="M202" s="10" t="n">
        <v>78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7" min="6" style="1" width="16"/>
    <col collapsed="false" customWidth="true" hidden="false" outlineLevel="0" max="8" min="8" style="1" width="14"/>
  </cols>
  <sheetData>
    <row r="1" customFormat="false" ht="27.75" hidden="false" customHeight="true" outlineLevel="0" collapsed="false">
      <c r="A1" s="15" t="s">
        <v>486</v>
      </c>
      <c r="B1" s="15"/>
      <c r="C1" s="15"/>
      <c r="D1" s="15"/>
      <c r="E1" s="15"/>
      <c r="F1" s="15"/>
      <c r="G1" s="15"/>
      <c r="H1" s="15"/>
    </row>
    <row r="3" customFormat="false" ht="27.75" hidden="false" customHeight="true" outlineLevel="0" collapsed="false">
      <c r="A3" s="16" t="s">
        <v>487</v>
      </c>
      <c r="B3" s="16"/>
      <c r="C3" s="16"/>
      <c r="D3" s="16"/>
      <c r="E3" s="16"/>
      <c r="F3" s="16"/>
      <c r="G3" s="16"/>
      <c r="H3" s="16"/>
    </row>
    <row r="4" customFormat="false" ht="21.75" hidden="false" customHeight="true" outlineLevel="0" collapsed="false">
      <c r="A4" s="17" t="s">
        <v>8</v>
      </c>
      <c r="B4" s="17" t="s">
        <v>488</v>
      </c>
      <c r="C4" s="17" t="s">
        <v>489</v>
      </c>
      <c r="D4" s="17" t="s">
        <v>490</v>
      </c>
      <c r="E4" s="17" t="s">
        <v>491</v>
      </c>
      <c r="F4" s="17" t="s">
        <v>492</v>
      </c>
      <c r="G4" s="17" t="s">
        <v>493</v>
      </c>
      <c r="H4" s="17" t="s">
        <v>494</v>
      </c>
    </row>
    <row r="5" customFormat="false" ht="15" hidden="false" customHeight="true" outlineLevel="0" collapsed="false">
      <c r="A5" s="18" t="s">
        <v>26</v>
      </c>
      <c r="B5" s="19" t="n">
        <f aca="false">COUNTIF('🏥 Patient Data'!H3:H202,A5)</f>
        <v>18</v>
      </c>
      <c r="C5" s="20" t="n">
        <f aca="false">IFERROR(B5/SUM(B5:B14),0)</f>
        <v>0.09</v>
      </c>
      <c r="D5" s="21" t="n">
        <f aca="false">IFERROR(AVERAGEIF('🏥 Patient Data'!H3:H202,A5,'🏥 Patient Data'!K3:K202),0)</f>
        <v>5.88888888888889</v>
      </c>
      <c r="E5" s="22" t="n">
        <f aca="false">IFERROR(AVERAGEIF('🏥 Patient Data'!H3:H202,A5,'🏥 Patient Data'!L3:L202),0)</f>
        <v>47463.4016666667</v>
      </c>
      <c r="F5" s="21" t="n">
        <f aca="false">IFERROR(AVERAGEIF('🏥 Patient Data'!H3:H202,A5,'🏥 Patient Data'!M3:M202),0)</f>
        <v>87.6111111111111</v>
      </c>
      <c r="G5" s="19" t="n">
        <f aca="false">COUNTIFS('🏥 Patient Data'!H3:H202,A5,'🏥 Patient Data'!J3:J202,"Recovered")</f>
        <v>2</v>
      </c>
      <c r="H5" s="20" t="n">
        <f aca="false">IFERROR(G5/B5,0)</f>
        <v>0.111111111111111</v>
      </c>
    </row>
    <row r="6" customFormat="false" ht="15" hidden="false" customHeight="true" outlineLevel="0" collapsed="false">
      <c r="A6" s="23" t="s">
        <v>20</v>
      </c>
      <c r="B6" s="24" t="n">
        <f aca="false">COUNTIF('🏥 Patient Data'!H3:H202,A6)</f>
        <v>20</v>
      </c>
      <c r="C6" s="25" t="n">
        <f aca="false">IFERROR(B6/SUM(B5:B14),0)</f>
        <v>0.1</v>
      </c>
      <c r="D6" s="26" t="n">
        <f aca="false">IFERROR(AVERAGEIF('🏥 Patient Data'!H3:H202,A6,'🏥 Patient Data'!K3:K202),0)</f>
        <v>8.4</v>
      </c>
      <c r="E6" s="27" t="n">
        <f aca="false">IFERROR(AVERAGEIF('🏥 Patient Data'!H3:H202,A6,'🏥 Patient Data'!L3:L202),0)</f>
        <v>40734.3565</v>
      </c>
      <c r="F6" s="26" t="n">
        <f aca="false">IFERROR(AVERAGEIF('🏥 Patient Data'!H3:H202,A6,'🏥 Patient Data'!M3:M202),0)</f>
        <v>84.1</v>
      </c>
      <c r="G6" s="24" t="n">
        <f aca="false">COUNTIFS('🏥 Patient Data'!H3:H202,A6,'🏥 Patient Data'!J3:J202,"Recovered")</f>
        <v>3</v>
      </c>
      <c r="H6" s="25" t="n">
        <f aca="false">IFERROR(G6/B6,0)</f>
        <v>0.15</v>
      </c>
    </row>
    <row r="7" customFormat="false" ht="15" hidden="false" customHeight="true" outlineLevel="0" collapsed="false">
      <c r="A7" s="18" t="s">
        <v>40</v>
      </c>
      <c r="B7" s="19" t="n">
        <f aca="false">COUNTIF('🏥 Patient Data'!H3:H202,A7)</f>
        <v>24</v>
      </c>
      <c r="C7" s="20" t="n">
        <f aca="false">IFERROR(B7/SUM(B5:B14),0)</f>
        <v>0.12</v>
      </c>
      <c r="D7" s="21" t="n">
        <f aca="false">IFERROR(AVERAGEIF('🏥 Patient Data'!H3:H202,A7,'🏥 Patient Data'!K3:K202),0)</f>
        <v>8.125</v>
      </c>
      <c r="E7" s="22" t="n">
        <f aca="false">IFERROR(AVERAGEIF('🏥 Patient Data'!H3:H202,A7,'🏥 Patient Data'!L3:L202),0)</f>
        <v>38078.8383333333</v>
      </c>
      <c r="F7" s="21" t="n">
        <f aca="false">IFERROR(AVERAGEIF('🏥 Patient Data'!H3:H202,A7,'🏥 Patient Data'!M3:M202),0)</f>
        <v>83.7083333333333</v>
      </c>
      <c r="G7" s="19" t="n">
        <f aca="false">COUNTIFS('🏥 Patient Data'!H3:H202,A7,'🏥 Patient Data'!J3:J202,"Recovered")</f>
        <v>5</v>
      </c>
      <c r="H7" s="20" t="n">
        <f aca="false">IFERROR(G7/B7,0)</f>
        <v>0.208333333333333</v>
      </c>
    </row>
    <row r="8" customFormat="false" ht="15" hidden="false" customHeight="true" outlineLevel="0" collapsed="false">
      <c r="A8" s="23" t="s">
        <v>33</v>
      </c>
      <c r="B8" s="24" t="n">
        <f aca="false">COUNTIF('🏥 Patient Data'!H3:H202,A8)</f>
        <v>19</v>
      </c>
      <c r="C8" s="25" t="n">
        <f aca="false">IFERROR(B8/SUM(B5:B14),0)</f>
        <v>0.095</v>
      </c>
      <c r="D8" s="26" t="n">
        <f aca="false">IFERROR(AVERAGEIF('🏥 Patient Data'!H3:H202,A8,'🏥 Patient Data'!K3:K202),0)</f>
        <v>8</v>
      </c>
      <c r="E8" s="27" t="n">
        <f aca="false">IFERROR(AVERAGEIF('🏥 Patient Data'!H3:H202,A8,'🏥 Patient Data'!L3:L202),0)</f>
        <v>49060.2694736842</v>
      </c>
      <c r="F8" s="26" t="n">
        <f aca="false">IFERROR(AVERAGEIF('🏥 Patient Data'!H3:H202,A8,'🏥 Patient Data'!M3:M202),0)</f>
        <v>83.2631578947368</v>
      </c>
      <c r="G8" s="24" t="n">
        <f aca="false">COUNTIFS('🏥 Patient Data'!H3:H202,A8,'🏥 Patient Data'!J3:J202,"Recovered")</f>
        <v>5</v>
      </c>
      <c r="H8" s="25" t="n">
        <f aca="false">IFERROR(G8/B8,0)</f>
        <v>0.263157894736842</v>
      </c>
    </row>
    <row r="9" customFormat="false" ht="15" hidden="false" customHeight="true" outlineLevel="0" collapsed="false">
      <c r="A9" s="18" t="s">
        <v>45</v>
      </c>
      <c r="B9" s="19" t="n">
        <f aca="false">COUNTIF('🏥 Patient Data'!H3:H202,A9)</f>
        <v>28</v>
      </c>
      <c r="C9" s="20" t="n">
        <f aca="false">IFERROR(B9/SUM(B5:B14),0)</f>
        <v>0.14</v>
      </c>
      <c r="D9" s="21" t="n">
        <f aca="false">IFERROR(AVERAGEIF('🏥 Patient Data'!H3:H202,A9,'🏥 Patient Data'!K3:K202),0)</f>
        <v>7.25</v>
      </c>
      <c r="E9" s="22" t="n">
        <f aca="false">IFERROR(AVERAGEIF('🏥 Patient Data'!H3:H202,A9,'🏥 Patient Data'!L3:L202),0)</f>
        <v>41124.8367857143</v>
      </c>
      <c r="F9" s="21" t="n">
        <f aca="false">IFERROR(AVERAGEIF('🏥 Patient Data'!H3:H202,A9,'🏥 Patient Data'!M3:M202),0)</f>
        <v>84.7857142857143</v>
      </c>
      <c r="G9" s="19" t="n">
        <f aca="false">COUNTIFS('🏥 Patient Data'!H3:H202,A9,'🏥 Patient Data'!J3:J202,"Recovered")</f>
        <v>6</v>
      </c>
      <c r="H9" s="20" t="n">
        <f aca="false">IFERROR(G9/B9,0)</f>
        <v>0.214285714285714</v>
      </c>
    </row>
    <row r="10" customFormat="false" ht="15" hidden="false" customHeight="true" outlineLevel="0" collapsed="false">
      <c r="A10" s="23" t="s">
        <v>88</v>
      </c>
      <c r="B10" s="24" t="n">
        <f aca="false">COUNTIF('🏥 Patient Data'!H3:H202,A10)</f>
        <v>16</v>
      </c>
      <c r="C10" s="25" t="n">
        <f aca="false">IFERROR(B10/SUM(B5:B14),0)</f>
        <v>0.08</v>
      </c>
      <c r="D10" s="26" t="n">
        <f aca="false">IFERROR(AVERAGEIF('🏥 Patient Data'!H3:H202,A10,'🏥 Patient Data'!K3:K202),0)</f>
        <v>6.8125</v>
      </c>
      <c r="E10" s="27" t="n">
        <f aca="false">IFERROR(AVERAGEIF('🏥 Patient Data'!H3:H202,A10,'🏥 Patient Data'!L3:L202),0)</f>
        <v>26832.238125</v>
      </c>
      <c r="F10" s="26" t="n">
        <f aca="false">IFERROR(AVERAGEIF('🏥 Patient Data'!H3:H202,A10,'🏥 Patient Data'!M3:M202),0)</f>
        <v>86.3125</v>
      </c>
      <c r="G10" s="24" t="n">
        <f aca="false">COUNTIFS('🏥 Patient Data'!H3:H202,A10,'🏥 Patient Data'!J3:J202,"Recovered")</f>
        <v>3</v>
      </c>
      <c r="H10" s="25" t="n">
        <f aca="false">IFERROR(G10/B10,0)</f>
        <v>0.1875</v>
      </c>
    </row>
    <row r="11" customFormat="false" ht="15" hidden="false" customHeight="true" outlineLevel="0" collapsed="false">
      <c r="A11" s="18" t="s">
        <v>72</v>
      </c>
      <c r="B11" s="19" t="n">
        <f aca="false">COUNTIF('🏥 Patient Data'!H3:H202,A11)</f>
        <v>22</v>
      </c>
      <c r="C11" s="20" t="n">
        <f aca="false">IFERROR(B11/SUM(B5:B14),0)</f>
        <v>0.11</v>
      </c>
      <c r="D11" s="21" t="n">
        <f aca="false">IFERROR(AVERAGEIF('🏥 Patient Data'!H3:H202,A11,'🏥 Patient Data'!K3:K202),0)</f>
        <v>7.68181818181818</v>
      </c>
      <c r="E11" s="22" t="n">
        <f aca="false">IFERROR(AVERAGEIF('🏥 Patient Data'!H3:H202,A11,'🏥 Patient Data'!L3:L202),0)</f>
        <v>40679.2677272727</v>
      </c>
      <c r="F11" s="21" t="n">
        <f aca="false">IFERROR(AVERAGEIF('🏥 Patient Data'!H3:H202,A11,'🏥 Patient Data'!M3:M202),0)</f>
        <v>85.2727272727273</v>
      </c>
      <c r="G11" s="19" t="n">
        <f aca="false">COUNTIFS('🏥 Patient Data'!H3:H202,A11,'🏥 Patient Data'!J3:J202,"Recovered")</f>
        <v>5</v>
      </c>
      <c r="H11" s="20" t="n">
        <f aca="false">IFERROR(G11/B11,0)</f>
        <v>0.227272727272727</v>
      </c>
    </row>
    <row r="12" customFormat="false" ht="15" hidden="false" customHeight="true" outlineLevel="0" collapsed="false">
      <c r="A12" s="23" t="s">
        <v>114</v>
      </c>
      <c r="B12" s="24" t="n">
        <f aca="false">COUNTIF('🏥 Patient Data'!H3:H202,A12)</f>
        <v>20</v>
      </c>
      <c r="C12" s="25" t="n">
        <f aca="false">IFERROR(B12/SUM(B5:B14),0)</f>
        <v>0.1</v>
      </c>
      <c r="D12" s="26" t="n">
        <f aca="false">IFERROR(AVERAGEIF('🏥 Patient Data'!H3:H202,A12,'🏥 Patient Data'!K3:K202),0)</f>
        <v>7.05</v>
      </c>
      <c r="E12" s="27" t="n">
        <f aca="false">IFERROR(AVERAGEIF('🏥 Patient Data'!H3:H202,A12,'🏥 Patient Data'!L3:L202),0)</f>
        <v>53278.232</v>
      </c>
      <c r="F12" s="26" t="n">
        <f aca="false">IFERROR(AVERAGEIF('🏥 Patient Data'!H3:H202,A12,'🏥 Patient Data'!M3:M202),0)</f>
        <v>83.55</v>
      </c>
      <c r="G12" s="24" t="n">
        <f aca="false">COUNTIFS('🏥 Patient Data'!H3:H202,A12,'🏥 Patient Data'!J3:J202,"Recovered")</f>
        <v>1</v>
      </c>
      <c r="H12" s="25" t="n">
        <f aca="false">IFERROR(G12/B12,0)</f>
        <v>0.05</v>
      </c>
    </row>
    <row r="13" customFormat="false" ht="15" hidden="false" customHeight="true" outlineLevel="0" collapsed="false">
      <c r="A13" s="18" t="s">
        <v>101</v>
      </c>
      <c r="B13" s="19" t="n">
        <f aca="false">COUNTIF('🏥 Patient Data'!H3:H202,A13)</f>
        <v>15</v>
      </c>
      <c r="C13" s="20" t="n">
        <f aca="false">IFERROR(B13/SUM(B5:B14),0)</f>
        <v>0.075</v>
      </c>
      <c r="D13" s="21" t="n">
        <f aca="false">IFERROR(AVERAGEIF('🏥 Patient Data'!H3:H202,A13,'🏥 Patient Data'!K3:K202),0)</f>
        <v>7.73333333333333</v>
      </c>
      <c r="E13" s="22" t="n">
        <f aca="false">IFERROR(AVERAGEIF('🏥 Patient Data'!H3:H202,A13,'🏥 Patient Data'!L3:L202),0)</f>
        <v>38998.2733333333</v>
      </c>
      <c r="F13" s="21" t="n">
        <f aca="false">IFERROR(AVERAGEIF('🏥 Patient Data'!H3:H202,A13,'🏥 Patient Data'!M3:M202),0)</f>
        <v>88</v>
      </c>
      <c r="G13" s="19" t="n">
        <f aca="false">COUNTIFS('🏥 Patient Data'!H3:H202,A13,'🏥 Patient Data'!J3:J202,"Recovered")</f>
        <v>3</v>
      </c>
      <c r="H13" s="20" t="n">
        <f aca="false">IFERROR(G13/B13,0)</f>
        <v>0.2</v>
      </c>
    </row>
    <row r="14" customFormat="false" ht="15" hidden="false" customHeight="true" outlineLevel="0" collapsed="false">
      <c r="A14" s="23" t="s">
        <v>51</v>
      </c>
      <c r="B14" s="24" t="n">
        <f aca="false">COUNTIF('🏥 Patient Data'!H3:H202,A14)</f>
        <v>18</v>
      </c>
      <c r="C14" s="25" t="n">
        <f aca="false">IFERROR(B14/SUM(B5:B14),0)</f>
        <v>0.09</v>
      </c>
      <c r="D14" s="26" t="n">
        <f aca="false">IFERROR(AVERAGEIF('🏥 Patient Data'!H3:H202,A14,'🏥 Patient Data'!K3:K202),0)</f>
        <v>6</v>
      </c>
      <c r="E14" s="27" t="n">
        <f aca="false">IFERROR(AVERAGEIF('🏥 Patient Data'!H3:H202,A14,'🏥 Patient Data'!L3:L202),0)</f>
        <v>46878.7316666667</v>
      </c>
      <c r="F14" s="26" t="n">
        <f aca="false">IFERROR(AVERAGEIF('🏥 Patient Data'!H3:H202,A14,'🏥 Patient Data'!M3:M202),0)</f>
        <v>85.8333333333333</v>
      </c>
      <c r="G14" s="24" t="n">
        <f aca="false">COUNTIFS('🏥 Patient Data'!H3:H202,A14,'🏥 Patient Data'!J3:J202,"Recovered")</f>
        <v>5</v>
      </c>
      <c r="H14" s="25" t="n">
        <f aca="false">IFERROR(G14/B14,0)</f>
        <v>0.277777777777778</v>
      </c>
    </row>
    <row r="15" customFormat="false" ht="15" hidden="false" customHeight="true" outlineLevel="0" collapsed="false">
      <c r="A15" s="17" t="s">
        <v>495</v>
      </c>
      <c r="B15" s="17" t="n">
        <f aca="false">SUM(B5:B14)</f>
        <v>200</v>
      </c>
      <c r="C15" s="28" t="n">
        <f aca="false">SUM(C5:C14)</f>
        <v>1</v>
      </c>
      <c r="D15" s="29" t="n">
        <f aca="false">AVERAGE(D5:D14)</f>
        <v>7.29415404040404</v>
      </c>
      <c r="E15" s="30" t="n">
        <f aca="false">AVERAGE(E5:E14)</f>
        <v>42312.8445611671</v>
      </c>
      <c r="F15" s="29" t="n">
        <f aca="false">AVERAGE(F5:F14)</f>
        <v>85.2436877230956</v>
      </c>
      <c r="G15" s="17" t="n">
        <f aca="false">SUM(G5:G14)</f>
        <v>38</v>
      </c>
      <c r="H15" s="28" t="n">
        <f aca="false">AVERAGE(H5:H14)</f>
        <v>0.188943855851751</v>
      </c>
    </row>
    <row r="17" customFormat="false" ht="27.75" hidden="false" customHeight="true" outlineLevel="0" collapsed="false">
      <c r="A17" s="31" t="s">
        <v>496</v>
      </c>
      <c r="B17" s="31"/>
      <c r="C17" s="31"/>
      <c r="D17" s="31"/>
      <c r="E17" s="31"/>
      <c r="F17" s="31"/>
    </row>
    <row r="18" customFormat="false" ht="15" hidden="false" customHeight="true" outlineLevel="0" collapsed="false">
      <c r="A18" s="32" t="s">
        <v>7</v>
      </c>
      <c r="B18" s="32" t="s">
        <v>497</v>
      </c>
      <c r="C18" s="32" t="s">
        <v>492</v>
      </c>
      <c r="D18" s="32" t="s">
        <v>498</v>
      </c>
      <c r="E18" s="32" t="s">
        <v>499</v>
      </c>
      <c r="F18" s="32" t="s">
        <v>500</v>
      </c>
    </row>
    <row r="19" customFormat="false" ht="15" hidden="false" customHeight="true" outlineLevel="0" collapsed="false">
      <c r="A19" s="18" t="s">
        <v>64</v>
      </c>
      <c r="B19" s="19" t="n">
        <f aca="false">COUNTIF('🏥 Patient Data'!G3:G202,A19)</f>
        <v>42</v>
      </c>
      <c r="C19" s="21" t="n">
        <f aca="false">IFERROR(AVERAGEIF('🏥 Patient Data'!G3:G202,A19,'🏥 Patient Data'!M3:M202),0)</f>
        <v>85.8809523809524</v>
      </c>
      <c r="D19" s="21" t="n">
        <f aca="false">IFERROR(AVERAGEIF('🏥 Patient Data'!G3:G202,A19,'🏥 Patient Data'!K3:K202),0)</f>
        <v>6.80952380952381</v>
      </c>
      <c r="E19" s="22" t="n">
        <f aca="false">IFERROR(AVERAGEIF('🏥 Patient Data'!G3:G202,A19,'🏥 Patient Data'!L3:L202),0)</f>
        <v>39562.2647619048</v>
      </c>
      <c r="F19" s="20" t="n">
        <f aca="false">IFERROR(COUNTIFS('🏥 Patient Data'!G3:G202,A19,'🏥 Patient Data'!J3:J202,"Recovered")/COUNTIF('🏥 Patient Data'!G3:G202,A19),0)</f>
        <v>0.0952380952380952</v>
      </c>
    </row>
    <row r="20" customFormat="false" ht="15" hidden="false" customHeight="true" outlineLevel="0" collapsed="false">
      <c r="A20" s="23" t="s">
        <v>60</v>
      </c>
      <c r="B20" s="24" t="n">
        <f aca="false">COUNTIF('🏥 Patient Data'!G3:G202,A20)</f>
        <v>36</v>
      </c>
      <c r="C20" s="26" t="n">
        <f aca="false">IFERROR(AVERAGEIF('🏥 Patient Data'!G3:G202,A20,'🏥 Patient Data'!M3:M202),0)</f>
        <v>85.5833333333333</v>
      </c>
      <c r="D20" s="26" t="n">
        <f aca="false">IFERROR(AVERAGEIF('🏥 Patient Data'!G3:G202,A20,'🏥 Patient Data'!K3:K202),0)</f>
        <v>8.05555555555556</v>
      </c>
      <c r="E20" s="27" t="n">
        <f aca="false">IFERROR(AVERAGEIF('🏥 Patient Data'!G3:G202,A20,'🏥 Patient Data'!L3:L202),0)</f>
        <v>38704.0791666667</v>
      </c>
      <c r="F20" s="25" t="n">
        <f aca="false">IFERROR(COUNTIFS('🏥 Patient Data'!G3:G202,A20,'🏥 Patient Data'!J3:J202,"Recovered")/COUNTIF('🏥 Patient Data'!G3:G202,A20),0)</f>
        <v>0.194444444444444</v>
      </c>
    </row>
    <row r="21" customFormat="false" ht="15" hidden="false" customHeight="true" outlineLevel="0" collapsed="false">
      <c r="A21" s="18" t="s">
        <v>32</v>
      </c>
      <c r="B21" s="19" t="n">
        <f aca="false">COUNTIF('🏥 Patient Data'!G3:G202,A21)</f>
        <v>47</v>
      </c>
      <c r="C21" s="21" t="n">
        <f aca="false">IFERROR(AVERAGEIF('🏥 Patient Data'!G3:G202,A21,'🏥 Patient Data'!M3:M202),0)</f>
        <v>84.8297872340426</v>
      </c>
      <c r="D21" s="21" t="n">
        <f aca="false">IFERROR(AVERAGEIF('🏥 Patient Data'!G3:G202,A21,'🏥 Patient Data'!K3:K202),0)</f>
        <v>7.76595744680851</v>
      </c>
      <c r="E21" s="22" t="n">
        <f aca="false">IFERROR(AVERAGEIF('🏥 Patient Data'!G3:G202,A21,'🏥 Patient Data'!L3:L202),0)</f>
        <v>43336.8619148936</v>
      </c>
      <c r="F21" s="20" t="n">
        <f aca="false">IFERROR(COUNTIFS('🏥 Patient Data'!G3:G202,A21,'🏥 Patient Data'!J3:J202,"Recovered")/COUNTIF('🏥 Patient Data'!G3:G202,A21),0)</f>
        <v>0.276595744680851</v>
      </c>
    </row>
    <row r="22" customFormat="false" ht="15" hidden="false" customHeight="true" outlineLevel="0" collapsed="false">
      <c r="A22" s="23" t="s">
        <v>19</v>
      </c>
      <c r="B22" s="24" t="n">
        <f aca="false">COUNTIF('🏥 Patient Data'!G3:G202,A22)</f>
        <v>39</v>
      </c>
      <c r="C22" s="26" t="n">
        <f aca="false">IFERROR(AVERAGEIF('🏥 Patient Data'!G3:G202,A22,'🏥 Patient Data'!M3:M202),0)</f>
        <v>83.6410256410256</v>
      </c>
      <c r="D22" s="26" t="n">
        <f aca="false">IFERROR(AVERAGEIF('🏥 Patient Data'!G3:G202,A22,'🏥 Patient Data'!K3:K202),0)</f>
        <v>6.64102564102564</v>
      </c>
      <c r="E22" s="27" t="n">
        <f aca="false">IFERROR(AVERAGEIF('🏥 Patient Data'!G3:G202,A22,'🏥 Patient Data'!L3:L202),0)</f>
        <v>42582.6492307692</v>
      </c>
      <c r="F22" s="25" t="n">
        <f aca="false">IFERROR(COUNTIFS('🏥 Patient Data'!G3:G202,A22,'🏥 Patient Data'!J3:J202,"Recovered")/COUNTIF('🏥 Patient Data'!G3:G202,A22),0)</f>
        <v>0.153846153846154</v>
      </c>
    </row>
    <row r="23" customFormat="false" ht="15" hidden="false" customHeight="true" outlineLevel="0" collapsed="false">
      <c r="A23" s="18" t="s">
        <v>39</v>
      </c>
      <c r="B23" s="19" t="n">
        <f aca="false">COUNTIF('🏥 Patient Data'!G3:G202,A23)</f>
        <v>36</v>
      </c>
      <c r="C23" s="21" t="n">
        <f aca="false">IFERROR(AVERAGEIF('🏥 Patient Data'!G3:G202,A23,'🏥 Patient Data'!M3:M202),0)</f>
        <v>85.5555555555556</v>
      </c>
      <c r="D23" s="21" t="n">
        <f aca="false">IFERROR(AVERAGEIF('🏥 Patient Data'!G3:G202,A23,'🏥 Patient Data'!K3:K202),0)</f>
        <v>7.41666666666667</v>
      </c>
      <c r="E23" s="22" t="n">
        <f aca="false">IFERROR(AVERAGEIF('🏥 Patient Data'!G3:G202,A23,'🏥 Patient Data'!L3:L202),0)</f>
        <v>48129.4122222222</v>
      </c>
      <c r="F23" s="20" t="n">
        <f aca="false">IFERROR(COUNTIFS('🏥 Patient Data'!G3:G202,A23,'🏥 Patient Data'!J3:J202,"Recovered")/COUNTIF('🏥 Patient Data'!G3:G202,A23),0)</f>
        <v>0.222222222222222</v>
      </c>
    </row>
    <row r="26" customFormat="false" ht="27.75" hidden="false" customHeight="true" outlineLevel="0" collapsed="false">
      <c r="A26" s="33" t="s">
        <v>501</v>
      </c>
      <c r="B26" s="33"/>
      <c r="C26" s="33"/>
      <c r="D26" s="33"/>
      <c r="E26" s="33"/>
    </row>
    <row r="27" customFormat="false" ht="15" hidden="false" customHeight="true" outlineLevel="0" collapsed="false">
      <c r="A27" s="34" t="s">
        <v>6</v>
      </c>
      <c r="B27" s="34" t="s">
        <v>502</v>
      </c>
      <c r="C27" s="34" t="s">
        <v>498</v>
      </c>
      <c r="D27" s="34" t="s">
        <v>499</v>
      </c>
      <c r="E27" s="34" t="s">
        <v>492</v>
      </c>
    </row>
    <row r="28" customFormat="false" ht="15" hidden="false" customHeight="true" outlineLevel="0" collapsed="false">
      <c r="A28" s="23" t="s">
        <v>77</v>
      </c>
      <c r="B28" s="24" t="n">
        <f aca="false">COUNTIF('🏥 Patient Data'!F3:F202,A28)</f>
        <v>38</v>
      </c>
      <c r="C28" s="26" t="n">
        <f aca="false">IFERROR(AVERAGEIF('🏥 Patient Data'!F3:F202,A28,'🏥 Patient Data'!K3:K202),0)</f>
        <v>6.76315789473684</v>
      </c>
      <c r="D28" s="27" t="n">
        <f aca="false">IFERROR(AVERAGEIF('🏥 Patient Data'!F3:F202,A28,'🏥 Patient Data'!L3:L202),0)</f>
        <v>41468.377631579</v>
      </c>
      <c r="E28" s="26" t="n">
        <f aca="false">IFERROR(AVERAGEIF('🏥 Patient Data'!F3:F202,A28,'🏥 Patient Data'!M3:M202),0)</f>
        <v>84.2631578947368</v>
      </c>
    </row>
    <row r="29" customFormat="false" ht="15" hidden="false" customHeight="true" outlineLevel="0" collapsed="false">
      <c r="A29" s="18" t="s">
        <v>50</v>
      </c>
      <c r="B29" s="19" t="n">
        <f aca="false">COUNTIF('🏥 Patient Data'!F3:F202,A29)</f>
        <v>22</v>
      </c>
      <c r="C29" s="21" t="n">
        <f aca="false">IFERROR(AVERAGEIF('🏥 Patient Data'!F3:F202,A29,'🏥 Patient Data'!K3:K202),0)</f>
        <v>7.81818181818182</v>
      </c>
      <c r="D29" s="22" t="n">
        <f aca="false">IFERROR(AVERAGEIF('🏥 Patient Data'!F3:F202,A29,'🏥 Patient Data'!L3:L202),0)</f>
        <v>39782.2727272727</v>
      </c>
      <c r="E29" s="21" t="n">
        <f aca="false">IFERROR(AVERAGEIF('🏥 Patient Data'!F3:F202,A29,'🏥 Patient Data'!M3:M202),0)</f>
        <v>87.0454545454546</v>
      </c>
    </row>
    <row r="30" customFormat="false" ht="15" hidden="false" customHeight="true" outlineLevel="0" collapsed="false">
      <c r="A30" s="23" t="s">
        <v>31</v>
      </c>
      <c r="B30" s="24" t="n">
        <f aca="false">COUNTIF('🏥 Patient Data'!F3:F202,A30)</f>
        <v>47</v>
      </c>
      <c r="C30" s="26" t="n">
        <f aca="false">IFERROR(AVERAGEIF('🏥 Patient Data'!F3:F202,A30,'🏥 Patient Data'!K3:K202),0)</f>
        <v>7.19148936170213</v>
      </c>
      <c r="D30" s="27" t="n">
        <f aca="false">IFERROR(AVERAGEIF('🏥 Patient Data'!F3:F202,A30,'🏥 Patient Data'!L3:L202),0)</f>
        <v>42669.7070212766</v>
      </c>
      <c r="E30" s="26" t="n">
        <f aca="false">IFERROR(AVERAGEIF('🏥 Patient Data'!F3:F202,A30,'🏥 Patient Data'!M3:M202),0)</f>
        <v>84.063829787234</v>
      </c>
    </row>
    <row r="31" customFormat="false" ht="15" hidden="false" customHeight="true" outlineLevel="0" collapsed="false">
      <c r="A31" s="18" t="s">
        <v>81</v>
      </c>
      <c r="B31" s="19" t="n">
        <f aca="false">COUNTIF('🏥 Patient Data'!F3:F202,A31)</f>
        <v>43</v>
      </c>
      <c r="C31" s="21" t="n">
        <f aca="false">IFERROR(AVERAGEIF('🏥 Patient Data'!F3:F202,A31,'🏥 Patient Data'!K3:K202),0)</f>
        <v>7.48837209302326</v>
      </c>
      <c r="D31" s="22" t="n">
        <f aca="false">IFERROR(AVERAGEIF('🏥 Patient Data'!F3:F202,A31,'🏥 Patient Data'!L3:L202),0)</f>
        <v>43486.8130232558</v>
      </c>
      <c r="E31" s="21" t="n">
        <f aca="false">IFERROR(AVERAGEIF('🏥 Patient Data'!F3:F202,A31,'🏥 Patient Data'!M3:M202),0)</f>
        <v>87</v>
      </c>
    </row>
    <row r="32" customFormat="false" ht="15" hidden="false" customHeight="true" outlineLevel="0" collapsed="false">
      <c r="A32" s="23" t="s">
        <v>18</v>
      </c>
      <c r="B32" s="24" t="n">
        <f aca="false">COUNTIF('🏥 Patient Data'!F3:F202,A32)</f>
        <v>50</v>
      </c>
      <c r="C32" s="26" t="n">
        <f aca="false">IFERROR(AVERAGEIF('🏥 Patient Data'!F3:F202,A32,'🏥 Patient Data'!K3:K202),0)</f>
        <v>7.56</v>
      </c>
      <c r="D32" s="27" t="n">
        <f aca="false">IFERROR(AVERAGEIF('🏥 Patient Data'!F3:F202,A32,'🏥 Patient Data'!L3:L202),0)</f>
        <v>43175.182</v>
      </c>
      <c r="E32" s="26" t="n">
        <f aca="false">IFERROR(AVERAGEIF('🏥 Patient Data'!F3:F202,A32,'🏥 Patient Data'!M3:M202),0)</f>
        <v>84.16</v>
      </c>
    </row>
    <row r="35" customFormat="false" ht="27.75" hidden="false" customHeight="true" outlineLevel="0" collapsed="false">
      <c r="A35" s="35" t="s">
        <v>503</v>
      </c>
      <c r="B35" s="35"/>
      <c r="C35" s="35"/>
      <c r="D35" s="35"/>
    </row>
    <row r="36" customFormat="false" ht="15" hidden="false" customHeight="true" outlineLevel="0" collapsed="false">
      <c r="A36" s="36" t="s">
        <v>10</v>
      </c>
      <c r="B36" s="36" t="s">
        <v>504</v>
      </c>
      <c r="C36" s="36" t="s">
        <v>505</v>
      </c>
      <c r="D36" s="36" t="s">
        <v>492</v>
      </c>
    </row>
    <row r="37" customFormat="false" ht="15" hidden="false" customHeight="true" outlineLevel="0" collapsed="false">
      <c r="A37" s="18" t="s">
        <v>22</v>
      </c>
      <c r="B37" s="19" t="n">
        <f aca="false">COUNTIF('🏥 Patient Data'!J3:J202,A37)</f>
        <v>38</v>
      </c>
      <c r="C37" s="20" t="n">
        <f aca="false">IFERROR(B37/200,0)</f>
        <v>0.19</v>
      </c>
      <c r="D37" s="21" t="n">
        <f aca="false">IFERROR(AVERAGEIF('🏥 Patient Data'!J3:J202,A37,'🏥 Patient Data'!M3:M202),0)</f>
        <v>87.5526315789474</v>
      </c>
    </row>
    <row r="38" customFormat="false" ht="15" hidden="false" customHeight="true" outlineLevel="0" collapsed="false">
      <c r="A38" s="23" t="s">
        <v>35</v>
      </c>
      <c r="B38" s="24" t="n">
        <f aca="false">COUNTIF('🏥 Patient Data'!J3:J202,A38)</f>
        <v>34</v>
      </c>
      <c r="C38" s="25" t="n">
        <f aca="false">IFERROR(B38/200,0)</f>
        <v>0.17</v>
      </c>
      <c r="D38" s="26" t="n">
        <f aca="false">IFERROR(AVERAGEIF('🏥 Patient Data'!J3:J202,A38,'🏥 Patient Data'!M3:M202),0)</f>
        <v>84.1176470588235</v>
      </c>
    </row>
    <row r="39" customFormat="false" ht="15" hidden="false" customHeight="true" outlineLevel="0" collapsed="false">
      <c r="A39" s="18" t="s">
        <v>56</v>
      </c>
      <c r="B39" s="19" t="n">
        <f aca="false">COUNTIF('🏥 Patient Data'!J3:J202,A39)</f>
        <v>44</v>
      </c>
      <c r="C39" s="20" t="n">
        <f aca="false">IFERROR(B39/200,0)</f>
        <v>0.22</v>
      </c>
      <c r="D39" s="21" t="n">
        <f aca="false">IFERROR(AVERAGEIF('🏥 Patient Data'!J3:J202,A39,'🏥 Patient Data'!M3:M202),0)</f>
        <v>84.4545454545455</v>
      </c>
    </row>
    <row r="40" customFormat="false" ht="15" hidden="false" customHeight="true" outlineLevel="0" collapsed="false">
      <c r="A40" s="23" t="s">
        <v>47</v>
      </c>
      <c r="B40" s="24" t="n">
        <f aca="false">COUNTIF('🏥 Patient Data'!J3:J202,A40)</f>
        <v>47</v>
      </c>
      <c r="C40" s="25" t="n">
        <f aca="false">IFERROR(B40/200,0)</f>
        <v>0.235</v>
      </c>
      <c r="D40" s="26" t="n">
        <f aca="false">IFERROR(AVERAGEIF('🏥 Patient Data'!J3:J202,A40,'🏥 Patient Data'!M3:M202),0)</f>
        <v>85.3191489361702</v>
      </c>
    </row>
    <row r="41" customFormat="false" ht="15" hidden="false" customHeight="true" outlineLevel="0" collapsed="false">
      <c r="A41" s="18" t="s">
        <v>65</v>
      </c>
      <c r="B41" s="19" t="n">
        <f aca="false">COUNTIF('🏥 Patient Data'!J3:J202,A41)</f>
        <v>37</v>
      </c>
      <c r="C41" s="20" t="n">
        <f aca="false">IFERROR(B41/200,0)</f>
        <v>0.185</v>
      </c>
      <c r="D41" s="21" t="n">
        <f aca="false">IFERROR(AVERAGEIF('🏥 Patient Data'!J3:J202,A41,'🏥 Patient Data'!M3:M202),0)</f>
        <v>83.8918918918919</v>
      </c>
    </row>
    <row r="42" customFormat="false" ht="15" hidden="false" customHeight="true" outlineLevel="0" collapsed="false">
      <c r="A42" s="37" t="s">
        <v>506</v>
      </c>
      <c r="B42" s="37"/>
      <c r="C42" s="37"/>
      <c r="D42" s="37"/>
    </row>
    <row r="43" customFormat="false" ht="15" hidden="false" customHeight="true" outlineLevel="0" collapsed="false">
      <c r="A43" s="38" t="s">
        <v>22</v>
      </c>
      <c r="B43" s="39" t="s">
        <v>35</v>
      </c>
      <c r="C43" s="40" t="s">
        <v>56</v>
      </c>
      <c r="D43" s="41" t="s">
        <v>47</v>
      </c>
      <c r="E43" s="42" t="s">
        <v>65</v>
      </c>
    </row>
  </sheetData>
  <mergeCells count="6">
    <mergeCell ref="A1:H1"/>
    <mergeCell ref="A3:H3"/>
    <mergeCell ref="A17:F17"/>
    <mergeCell ref="A26:E26"/>
    <mergeCell ref="A35:D35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P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7.8"/>
  </cols>
  <sheetData>
    <row r="1" customFormat="false" ht="39.75" hidden="false" customHeight="true" outlineLevel="0" collapsed="false">
      <c r="A1" s="43" t="s">
        <v>507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Z1" s="44" t="s">
        <v>8</v>
      </c>
      <c r="AA1" s="44" t="s">
        <v>504</v>
      </c>
      <c r="AC1" s="44" t="s">
        <v>10</v>
      </c>
      <c r="AD1" s="44" t="s">
        <v>504</v>
      </c>
      <c r="AF1" s="44" t="s">
        <v>6</v>
      </c>
      <c r="AG1" s="44" t="s">
        <v>504</v>
      </c>
      <c r="AI1" s="44" t="s">
        <v>508</v>
      </c>
      <c r="AJ1" s="44" t="s">
        <v>509</v>
      </c>
      <c r="AL1" s="44" t="s">
        <v>7</v>
      </c>
      <c r="AM1" s="44" t="s">
        <v>492</v>
      </c>
      <c r="AO1" s="44" t="s">
        <v>5</v>
      </c>
      <c r="AP1" s="44" t="s">
        <v>504</v>
      </c>
    </row>
    <row r="2" customFormat="false" ht="18" hidden="false" customHeight="true" outlineLevel="0" collapsed="false">
      <c r="A2" s="45" t="s">
        <v>510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Z2" s="44" t="s">
        <v>26</v>
      </c>
      <c r="AA2" s="44" t="n">
        <f aca="false">COUNTIF('🏥 Patient Data'!H3:H202,Z2)</f>
        <v>18</v>
      </c>
      <c r="AC2" s="44" t="s">
        <v>22</v>
      </c>
      <c r="AD2" s="44" t="n">
        <f aca="false">COUNTIF('🏥 Patient Data'!J3:J202,AC2)</f>
        <v>38</v>
      </c>
      <c r="AF2" s="44" t="s">
        <v>77</v>
      </c>
      <c r="AG2" s="44" t="n">
        <f aca="false">COUNTIF('🏥 Patient Data'!F3:F202,AF2)</f>
        <v>38</v>
      </c>
      <c r="AI2" s="44" t="s">
        <v>511</v>
      </c>
      <c r="AJ2" s="44" t="n">
        <f aca="false">COUNTIFS('🏥 Patient Data'!K3:K202,"&gt;="&amp;1,'🏥 Patient Data'!K3:K202,"&lt;="&amp;2)</f>
        <v>31</v>
      </c>
      <c r="AL2" s="44" t="s">
        <v>64</v>
      </c>
      <c r="AM2" s="44" t="n">
        <f aca="false">IFERROR(AVERAGEIF('🏥 Patient Data'!G3:G202,AL2,'🏥 Patient Data'!M3:M202),0)</f>
        <v>85.8809523809524</v>
      </c>
      <c r="AO2" s="44" t="s">
        <v>17</v>
      </c>
      <c r="AP2" s="44" t="n">
        <f aca="false">COUNTIF('🏥 Patient Data'!E3:E202,"Male")</f>
        <v>120</v>
      </c>
    </row>
    <row r="3" customFormat="false" ht="18" hidden="false" customHeight="true" outlineLevel="0" collapsed="false">
      <c r="Z3" s="44" t="s">
        <v>20</v>
      </c>
      <c r="AA3" s="44" t="n">
        <f aca="false">COUNTIF('🏥 Patient Data'!H3:H202,Z3)</f>
        <v>20</v>
      </c>
      <c r="AC3" s="44" t="s">
        <v>35</v>
      </c>
      <c r="AD3" s="44" t="n">
        <f aca="false">COUNTIF('🏥 Patient Data'!J3:J202,AC3)</f>
        <v>34</v>
      </c>
      <c r="AF3" s="44" t="s">
        <v>50</v>
      </c>
      <c r="AG3" s="44" t="n">
        <f aca="false">COUNTIF('🏥 Patient Data'!F3:F202,AF3)</f>
        <v>22</v>
      </c>
      <c r="AI3" s="44" t="s">
        <v>512</v>
      </c>
      <c r="AJ3" s="44" t="n">
        <f aca="false">COUNTIFS('🏥 Patient Data'!K3:K202,"&gt;="&amp;3,'🏥 Patient Data'!K3:K202,"&lt;="&amp;4)</f>
        <v>25</v>
      </c>
      <c r="AL3" s="44" t="s">
        <v>60</v>
      </c>
      <c r="AM3" s="44" t="n">
        <f aca="false">IFERROR(AVERAGEIF('🏥 Patient Data'!G3:G202,AL3,'🏥 Patient Data'!M3:M202),0)</f>
        <v>85.5833333333333</v>
      </c>
      <c r="AO3" s="44" t="s">
        <v>30</v>
      </c>
      <c r="AP3" s="44" t="n">
        <f aca="false">COUNTIF('🏥 Patient Data'!E3:E202,"Female")</f>
        <v>80</v>
      </c>
    </row>
    <row r="4" customFormat="false" ht="19.5" hidden="false" customHeight="true" outlineLevel="0" collapsed="false">
      <c r="A4" s="46" t="s">
        <v>513</v>
      </c>
      <c r="B4" s="46"/>
      <c r="C4" s="46"/>
      <c r="D4" s="46"/>
      <c r="E4" s="47" t="s">
        <v>514</v>
      </c>
      <c r="F4" s="47"/>
      <c r="G4" s="47"/>
      <c r="H4" s="47"/>
      <c r="I4" s="48" t="s">
        <v>515</v>
      </c>
      <c r="J4" s="48"/>
      <c r="K4" s="48"/>
      <c r="L4" s="48"/>
      <c r="M4" s="49" t="s">
        <v>516</v>
      </c>
      <c r="N4" s="49"/>
      <c r="O4" s="49"/>
      <c r="P4" s="49"/>
      <c r="Q4" s="50" t="s">
        <v>517</v>
      </c>
      <c r="R4" s="50"/>
      <c r="S4" s="50"/>
      <c r="T4" s="50"/>
      <c r="U4" s="51" t="s">
        <v>518</v>
      </c>
      <c r="V4" s="51"/>
      <c r="W4" s="51"/>
      <c r="X4" s="51"/>
      <c r="Z4" s="44" t="s">
        <v>40</v>
      </c>
      <c r="AA4" s="44" t="n">
        <f aca="false">COUNTIF('🏥 Patient Data'!H3:H202,Z4)</f>
        <v>24</v>
      </c>
      <c r="AC4" s="44" t="s">
        <v>56</v>
      </c>
      <c r="AD4" s="44" t="n">
        <f aca="false">COUNTIF('🏥 Patient Data'!J3:J202,AC4)</f>
        <v>44</v>
      </c>
      <c r="AF4" s="44" t="s">
        <v>31</v>
      </c>
      <c r="AG4" s="44" t="n">
        <f aca="false">COUNTIF('🏥 Patient Data'!F3:F202,AF4)</f>
        <v>47</v>
      </c>
      <c r="AI4" s="44" t="s">
        <v>519</v>
      </c>
      <c r="AJ4" s="44" t="n">
        <f aca="false">COUNTIFS('🏥 Patient Data'!K3:K202,"&gt;="&amp;5,'🏥 Patient Data'!K3:K202,"&lt;="&amp;6)</f>
        <v>31</v>
      </c>
      <c r="AL4" s="44" t="s">
        <v>32</v>
      </c>
      <c r="AM4" s="44" t="n">
        <f aca="false">IFERROR(AVERAGEIF('🏥 Patient Data'!G3:G202,AL4,'🏥 Patient Data'!M3:M202),0)</f>
        <v>84.8297872340426</v>
      </c>
    </row>
    <row r="5" customFormat="false" ht="19.5" hidden="false" customHeight="true" outlineLevel="0" collapsed="false">
      <c r="A5" s="52" t="n">
        <f aca="false">COUNTA('🏥 Patient Data'!A3:A202)</f>
        <v>200</v>
      </c>
      <c r="B5" s="52"/>
      <c r="C5" s="52"/>
      <c r="D5" s="52"/>
      <c r="E5" s="53" t="n">
        <f aca="false">AVERAGE('🏥 Patient Data'!K3:K202)</f>
        <v>7.335</v>
      </c>
      <c r="F5" s="53"/>
      <c r="G5" s="53"/>
      <c r="H5" s="53"/>
      <c r="I5" s="54" t="n">
        <f aca="false">AVERAGE('🏥 Patient Data'!L3:L202)</f>
        <v>42425.8832</v>
      </c>
      <c r="J5" s="54"/>
      <c r="K5" s="54"/>
      <c r="L5" s="54"/>
      <c r="M5" s="55" t="n">
        <f aca="false">AVERAGE('🏥 Patient Data'!M3:M202)</f>
        <v>85.085</v>
      </c>
      <c r="N5" s="55"/>
      <c r="O5" s="55"/>
      <c r="P5" s="55"/>
      <c r="Q5" s="56" t="n">
        <f aca="false">COUNTIF('🏥 Patient Data'!J3:J202,"Recovered")/200</f>
        <v>0.19</v>
      </c>
      <c r="R5" s="56"/>
      <c r="S5" s="56"/>
      <c r="T5" s="56"/>
      <c r="U5" s="57" t="n">
        <f aca="false">COUNTIF('🏥 Patient Data'!F3:F202,"ICU")</f>
        <v>22</v>
      </c>
      <c r="V5" s="57"/>
      <c r="W5" s="57"/>
      <c r="X5" s="57"/>
      <c r="Z5" s="44" t="s">
        <v>33</v>
      </c>
      <c r="AA5" s="44" t="n">
        <f aca="false">COUNTIF('🏥 Patient Data'!H3:H202,Z5)</f>
        <v>19</v>
      </c>
      <c r="AC5" s="44" t="s">
        <v>47</v>
      </c>
      <c r="AD5" s="44" t="n">
        <f aca="false">COUNTIF('🏥 Patient Data'!J3:J202,AC5)</f>
        <v>47</v>
      </c>
      <c r="AF5" s="44" t="s">
        <v>81</v>
      </c>
      <c r="AG5" s="44" t="n">
        <f aca="false">COUNTIF('🏥 Patient Data'!F3:F202,AF5)</f>
        <v>43</v>
      </c>
      <c r="AI5" s="44" t="s">
        <v>520</v>
      </c>
      <c r="AJ5" s="44" t="n">
        <f aca="false">COUNTIFS('🏥 Patient Data'!K3:K202,"&gt;="&amp;7,'🏥 Patient Data'!K3:K202,"&lt;="&amp;9)</f>
        <v>50</v>
      </c>
      <c r="AL5" s="44" t="s">
        <v>19</v>
      </c>
      <c r="AM5" s="44" t="n">
        <f aca="false">IFERROR(AVERAGEIF('🏥 Patient Data'!G3:G202,AL5,'🏥 Patient Data'!M3:M202),0)</f>
        <v>83.6410256410256</v>
      </c>
    </row>
    <row r="6" customFormat="false" ht="19.5" hidden="false" customHeight="true" outlineLevel="0" collapsed="false">
      <c r="A6" s="52"/>
      <c r="B6" s="52"/>
      <c r="C6" s="52"/>
      <c r="D6" s="52"/>
      <c r="E6" s="53"/>
      <c r="F6" s="53"/>
      <c r="G6" s="53"/>
      <c r="H6" s="53"/>
      <c r="I6" s="54"/>
      <c r="J6" s="54"/>
      <c r="K6" s="54"/>
      <c r="L6" s="54"/>
      <c r="M6" s="55"/>
      <c r="N6" s="55"/>
      <c r="O6" s="55"/>
      <c r="P6" s="55"/>
      <c r="Q6" s="56"/>
      <c r="R6" s="56"/>
      <c r="S6" s="56"/>
      <c r="T6" s="56"/>
      <c r="U6" s="57"/>
      <c r="V6" s="57"/>
      <c r="W6" s="57"/>
      <c r="X6" s="57"/>
      <c r="Z6" s="44" t="s">
        <v>45</v>
      </c>
      <c r="AA6" s="44" t="n">
        <f aca="false">COUNTIF('🏥 Patient Data'!H3:H202,Z6)</f>
        <v>28</v>
      </c>
      <c r="AC6" s="44" t="s">
        <v>65</v>
      </c>
      <c r="AD6" s="44" t="n">
        <f aca="false">COUNTIF('🏥 Patient Data'!J3:J202,AC6)</f>
        <v>37</v>
      </c>
      <c r="AF6" s="44" t="s">
        <v>18</v>
      </c>
      <c r="AG6" s="44" t="n">
        <f aca="false">COUNTIF('🏥 Patient Data'!F3:F202,AF6)</f>
        <v>50</v>
      </c>
      <c r="AI6" s="44" t="s">
        <v>521</v>
      </c>
      <c r="AJ6" s="44" t="n">
        <f aca="false">COUNTIFS('🏥 Patient Data'!K3:K202,"&gt;="&amp;10,'🏥 Patient Data'!K3:K202,"&lt;="&amp;99)</f>
        <v>63</v>
      </c>
      <c r="AL6" s="44" t="s">
        <v>39</v>
      </c>
      <c r="AM6" s="44" t="n">
        <f aca="false">IFERROR(AVERAGEIF('🏥 Patient Data'!G3:G202,AL6,'🏥 Patient Data'!M3:M202),0)</f>
        <v>85.5555555555556</v>
      </c>
    </row>
    <row r="7" customFormat="false" ht="19.5" hidden="false" customHeight="true" outlineLevel="0" collapsed="false">
      <c r="A7" s="58" t="s">
        <v>522</v>
      </c>
      <c r="B7" s="58"/>
      <c r="C7" s="58"/>
      <c r="D7" s="58"/>
      <c r="E7" s="59" t="s">
        <v>523</v>
      </c>
      <c r="F7" s="59"/>
      <c r="G7" s="59"/>
      <c r="H7" s="59"/>
      <c r="I7" s="60" t="s">
        <v>524</v>
      </c>
      <c r="J7" s="60"/>
      <c r="K7" s="60"/>
      <c r="L7" s="60"/>
      <c r="M7" s="61" t="s">
        <v>525</v>
      </c>
      <c r="N7" s="61"/>
      <c r="O7" s="61"/>
      <c r="P7" s="61"/>
      <c r="Q7" s="62" t="s">
        <v>526</v>
      </c>
      <c r="R7" s="62"/>
      <c r="S7" s="62"/>
      <c r="T7" s="62"/>
      <c r="U7" s="63" t="s">
        <v>527</v>
      </c>
      <c r="V7" s="63"/>
      <c r="W7" s="63"/>
      <c r="X7" s="63"/>
      <c r="Z7" s="44" t="s">
        <v>88</v>
      </c>
      <c r="AA7" s="44" t="n">
        <f aca="false">COUNTIF('🏥 Patient Data'!H3:H202,Z7)</f>
        <v>16</v>
      </c>
    </row>
    <row r="8" customFormat="false" ht="19.5" hidden="false" customHeight="true" outlineLevel="0" collapsed="false">
      <c r="A8" s="64"/>
      <c r="B8" s="64"/>
      <c r="C8" s="64"/>
      <c r="D8" s="64"/>
      <c r="E8" s="65"/>
      <c r="F8" s="65"/>
      <c r="G8" s="65"/>
      <c r="H8" s="65"/>
      <c r="I8" s="66"/>
      <c r="J8" s="66"/>
      <c r="K8" s="66"/>
      <c r="L8" s="66"/>
      <c r="M8" s="67"/>
      <c r="N8" s="67"/>
      <c r="O8" s="67"/>
      <c r="P8" s="67"/>
      <c r="Q8" s="68"/>
      <c r="R8" s="68"/>
      <c r="S8" s="68"/>
      <c r="T8" s="68"/>
      <c r="U8" s="69"/>
      <c r="V8" s="69"/>
      <c r="W8" s="69"/>
      <c r="X8" s="69"/>
      <c r="Z8" s="44" t="s">
        <v>72</v>
      </c>
      <c r="AA8" s="44" t="n">
        <f aca="false">COUNTIF('🏥 Patient Data'!H3:H202,Z8)</f>
        <v>22</v>
      </c>
    </row>
    <row r="9" customFormat="false" ht="18" hidden="false" customHeight="true" outlineLevel="0" collapsed="false">
      <c r="Z9" s="44" t="s">
        <v>114</v>
      </c>
      <c r="AA9" s="44" t="n">
        <f aca="false">COUNTIF('🏥 Patient Data'!H3:H202,Z9)</f>
        <v>20</v>
      </c>
    </row>
    <row r="10" customFormat="false" ht="21.75" hidden="false" customHeight="true" outlineLevel="0" collapsed="false">
      <c r="A10" s="70" t="s">
        <v>528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Z10" s="44" t="s">
        <v>101</v>
      </c>
      <c r="AA10" s="44" t="n">
        <f aca="false">COUNTIF('🏥 Patient Data'!H3:H202,Z10)</f>
        <v>15</v>
      </c>
    </row>
    <row r="11" customFormat="false" ht="18" hidden="false" customHeight="true" outlineLevel="0" collapsed="false">
      <c r="Z11" s="44" t="s">
        <v>51</v>
      </c>
      <c r="AA11" s="44" t="n">
        <f aca="false">COUNTIF('🏥 Patient Data'!H3:H202,Z11)</f>
        <v>18</v>
      </c>
    </row>
    <row r="12" customFormat="false" ht="18" hidden="false" customHeight="true" outlineLevel="0" collapsed="false"/>
    <row r="13" customFormat="false" ht="18" hidden="false" customHeight="true" outlineLevel="0" collapsed="false"/>
    <row r="14" customFormat="false" ht="18" hidden="false" customHeight="true" outlineLevel="0" collapsed="false"/>
    <row r="15" customFormat="false" ht="18" hidden="false" customHeight="true" outlineLevel="0" collapsed="false"/>
    <row r="16" customFormat="false" ht="18" hidden="false" customHeight="true" outlineLevel="0" collapsed="false"/>
    <row r="17" customFormat="false" ht="18" hidden="false" customHeight="true" outlineLevel="0" collapsed="false"/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</sheetData>
  <mergeCells count="27">
    <mergeCell ref="A1:X1"/>
    <mergeCell ref="A2:X2"/>
    <mergeCell ref="A4:D4"/>
    <mergeCell ref="E4:H4"/>
    <mergeCell ref="I4:L4"/>
    <mergeCell ref="M4:P4"/>
    <mergeCell ref="Q4:T4"/>
    <mergeCell ref="U4:X4"/>
    <mergeCell ref="A5:D6"/>
    <mergeCell ref="E5:H6"/>
    <mergeCell ref="I5:L6"/>
    <mergeCell ref="M5:P6"/>
    <mergeCell ref="Q5:T6"/>
    <mergeCell ref="U5:X6"/>
    <mergeCell ref="A7:D7"/>
    <mergeCell ref="E7:H7"/>
    <mergeCell ref="I7:L7"/>
    <mergeCell ref="M7:P7"/>
    <mergeCell ref="Q7:T7"/>
    <mergeCell ref="U7:X7"/>
    <mergeCell ref="A8:D8"/>
    <mergeCell ref="E8:H8"/>
    <mergeCell ref="I8:L8"/>
    <mergeCell ref="M8:P8"/>
    <mergeCell ref="Q8:T8"/>
    <mergeCell ref="U8:X8"/>
    <mergeCell ref="A10:X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2026-05-04T04:43:27Z</dcterms:created>
  <dc:creator>openpyxl</dc:creator>
  <dc:description/>
  <dc:language>en-US</dc:language>
  <cp:lastModifiedBy/>
  <dcterms:modified xsi:type="dcterms:W3CDTF">2026-05-04T11:42:13Z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